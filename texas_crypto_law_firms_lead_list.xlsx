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an Weiss\Desktop\BlockDrive\Lead Lists\"/>
    </mc:Choice>
  </mc:AlternateContent>
  <xr:revisionPtr revIDLastSave="0" documentId="8_{F7AFEF14-9120-4BE7-85A8-2ACB53489AD2}" xr6:coauthVersionLast="47" xr6:coauthVersionMax="47" xr10:uidLastSave="{00000000-0000-0000-0000-000000000000}"/>
  <bookViews>
    <workbookView xWindow="-98" yWindow="-98" windowWidth="21795" windowHeight="12975" tabRatio="500" firstSheet="1" activeTab="3" xr2:uid="{00000000-000D-0000-FFFF-FFFF00000000}"/>
  </bookViews>
  <sheets>
    <sheet name="Overview &amp; Summary" sheetId="1" r:id="rId1"/>
    <sheet name="North &amp; West TX - Firms" sheetId="2" r:id="rId2"/>
    <sheet name="North &amp; West TX - Contacts" sheetId="3" r:id="rId3"/>
    <sheet name="Central &amp; South TX - Firms" sheetId="4" r:id="rId4"/>
    <sheet name="Central &amp; South TX - Contacts" sheetId="5" r:id="rId5"/>
    <sheet name="Gulf Coast &amp; East TX - Firms" sheetId="6" r:id="rId6"/>
    <sheet name="Gulf Coast &amp; East TX - Contac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E9" i="1"/>
  <c r="D9" i="1"/>
  <c r="C9" i="1"/>
  <c r="B9" i="1"/>
  <c r="F8" i="1"/>
  <c r="E8" i="1"/>
  <c r="D8" i="1"/>
  <c r="C8" i="1"/>
  <c r="B8" i="1"/>
  <c r="B10" i="1" s="1"/>
  <c r="F7" i="1"/>
  <c r="E7" i="1"/>
  <c r="E10" i="1" s="1"/>
  <c r="D7" i="1"/>
  <c r="D10" i="1" s="1"/>
  <c r="C7" i="1"/>
  <c r="C10" i="1" s="1"/>
  <c r="B7" i="1"/>
</calcChain>
</file>

<file path=xl/sharedStrings.xml><?xml version="1.0" encoding="utf-8"?>
<sst xmlns="http://schemas.openxmlformats.org/spreadsheetml/2006/main" count="1511" uniqueCount="600">
  <si>
    <t>BlockDrive - Texas Crypto/Blockchain Law Firms Lead Database</t>
  </si>
  <si>
    <t>Complete Lead Generation &amp; Prioritization System</t>
  </si>
  <si>
    <t>Last Updated: December 2025</t>
  </si>
  <si>
    <t>SUMMARY STATISTICS</t>
  </si>
  <si>
    <t>Region</t>
  </si>
  <si>
    <t>Total Firms</t>
  </si>
  <si>
    <t>Specialty Firms</t>
  </si>
  <si>
    <t>General w/ Crypto</t>
  </si>
  <si>
    <t>Contacts</t>
  </si>
  <si>
    <t>Verified Emails</t>
  </si>
  <si>
    <t>North &amp; West Texas</t>
  </si>
  <si>
    <t>Central &amp; South Texas</t>
  </si>
  <si>
    <t>Gulf Coast &amp; East Texas</t>
  </si>
  <si>
    <t>TOTAL</t>
  </si>
  <si>
    <t>TERRITORY OVERVIEW</t>
  </si>
  <si>
    <t>Anchor Hub</t>
  </si>
  <si>
    <t>Key Metros</t>
  </si>
  <si>
    <t>Industry Mix</t>
  </si>
  <si>
    <t>Primary Pitch</t>
  </si>
  <si>
    <t>1. North &amp; West Texas</t>
  </si>
  <si>
    <t>Dallas-Fort Worth</t>
  </si>
  <si>
    <t>DFW, Panhandle, West TX</t>
  </si>
  <si>
    <t>Corp Mining, Wind, Oil Field</t>
  </si>
  <si>
    <t>Scale &amp; Stability</t>
  </si>
  <si>
    <t>2. Central &amp; South Texas</t>
  </si>
  <si>
    <t>Austin</t>
  </si>
  <si>
    <t>Austin, San Antonio, RGV</t>
  </si>
  <si>
    <t>Software, Payments, Startups</t>
  </si>
  <si>
    <t>Innovation &amp; Retail</t>
  </si>
  <si>
    <t>3. Gulf Coast &amp; East Texas</t>
  </si>
  <si>
    <t>Houston</t>
  </si>
  <si>
    <t>Houston, Coast, East TX</t>
  </si>
  <si>
    <t>Energy, Logistics, Trading</t>
  </si>
  <si>
    <t>Asset Monetization</t>
  </si>
  <si>
    <t>PRIORITY KEY</t>
  </si>
  <si>
    <t>HIGH PRIORITY - Crypto/Blockchain specialty firms with dedicated practice focus</t>
  </si>
  <si>
    <t>MEDIUM PRIORITY - Large firms with crypto capabilities and tech practice groups</t>
  </si>
  <si>
    <t>TOP TIER - AmLaw 100/200 firms with strong technology and corporate practices</t>
  </si>
  <si>
    <t>DATA SOURCES</t>
  </si>
  <si>
    <t>Chambers FinTech Rankings 2024-2025</t>
  </si>
  <si>
    <t>Texas State Bar Association Directory</t>
  </si>
  <si>
    <t>Firm Websites and LinkedIn Profiles</t>
  </si>
  <si>
    <t>Legal 500 Technology Practice Rankings</t>
  </si>
  <si>
    <t>Category</t>
  </si>
  <si>
    <t>Tier</t>
  </si>
  <si>
    <t>Firm Name</t>
  </si>
  <si>
    <t>Website</t>
  </si>
  <si>
    <t>Phone</t>
  </si>
  <si>
    <t>Location</t>
  </si>
  <si>
    <t>City</t>
  </si>
  <si>
    <t>State</t>
  </si>
  <si>
    <t>Size</t>
  </si>
  <si>
    <t>Revenue</t>
  </si>
  <si>
    <t>Focus</t>
  </si>
  <si>
    <t>Priority</t>
  </si>
  <si>
    <t>GROUP 1: CRYPTO/BLOCKCHAIN SPECIALTY FIRMS</t>
  </si>
  <si>
    <t>Specialty</t>
  </si>
  <si>
    <t>Tier 2</t>
  </si>
  <si>
    <t>Freeman Law, PLLC</t>
  </si>
  <si>
    <t>freemanlaw.com</t>
  </si>
  <si>
    <t>(214) 984-3410</t>
  </si>
  <si>
    <t>2595 Dallas Parkway, Suite 420, Frisco, TX 75034</t>
  </si>
  <si>
    <t>Frisco</t>
  </si>
  <si>
    <t>TX</t>
  </si>
  <si>
    <t>11-50</t>
  </si>
  <si>
    <t>$1M-$5M</t>
  </si>
  <si>
    <t>Tax Litigation, Cryptocurrency Tax, White-Collar Defense, Blockchain Compliance</t>
  </si>
  <si>
    <t>HIGH PRIORITY - Tax/Crypto Boutique, Jason Freeman</t>
  </si>
  <si>
    <t>Oberheiden P.C.</t>
  </si>
  <si>
    <t>federal-lawyer.com</t>
  </si>
  <si>
    <t>(888) 680-1745</t>
  </si>
  <si>
    <t>1445 Ross Avenue, Suite 3700, Dallas, TX 75202</t>
  </si>
  <si>
    <t>Dallas</t>
  </si>
  <si>
    <t>51-200</t>
  </si>
  <si>
    <t>$5M-$10M</t>
  </si>
  <si>
    <t>Federal Crypto Compliance, CFTC/SEC Defense, White-Collar Crypto Defense</t>
  </si>
  <si>
    <t>HIGH PRIORITY - Former Fed Prosecutors, Compliance Focus</t>
  </si>
  <si>
    <t>Spencer &amp; Associates</t>
  </si>
  <si>
    <t>aspencerlaw.com</t>
  </si>
  <si>
    <t>(214) 385-8500</t>
  </si>
  <si>
    <t>8350 North Central Expressway, Suite 1700, Dallas, TX 75206</t>
  </si>
  <si>
    <t>1-10</t>
  </si>
  <si>
    <t>$500K-$1M</t>
  </si>
  <si>
    <t>Crypto Fraud Defense, White-Collar Crime, DOJ/SEC Investigations, Compliance</t>
  </si>
  <si>
    <t>HIGH PRIORITY - Former AUSA, Coinsource General Counsel</t>
  </si>
  <si>
    <t>Red Road Legal, P.C.</t>
  </si>
  <si>
    <t>redroadlegal.com</t>
  </si>
  <si>
    <t>(972) 738-7800</t>
  </si>
  <si>
    <t>5430 LBJ Freeway, Suite 1200, Dallas, TX 75240</t>
  </si>
  <si>
    <t>Under $500K</t>
  </si>
  <si>
    <t>Cryptocurrency Law, Blockchain Technology, Digital Asset Compliance</t>
  </si>
  <si>
    <t>MEDIUM PRIORITY - Crypto-focused boutique firm</t>
  </si>
  <si>
    <t>Meadows Collier Reed Cousins Crouch &amp; Ungerman LLP</t>
  </si>
  <si>
    <t>meadowscollier.com</t>
  </si>
  <si>
    <t>(214) 744-3700</t>
  </si>
  <si>
    <t>901 Main Street, Suite 3700</t>
  </si>
  <si>
    <t>20-50</t>
  </si>
  <si>
    <t>$50M-$150M</t>
  </si>
  <si>
    <t>Crypto/Digital Assets Tax, Tax Controversy, White Collar Defense</t>
  </si>
  <si>
    <t>High - Leading crypto tax boutique in Texas with IRS defense expertise</t>
  </si>
  <si>
    <t>GROUP 2: GENERAL FIRMS WITH CRYPTO/BLOCKCHAIN CAPABILITIES</t>
  </si>
  <si>
    <t>Tier 1</t>
  </si>
  <si>
    <t>Baker Botts L.L.P.</t>
  </si>
  <si>
    <t>bakerbotts.com</t>
  </si>
  <si>
    <t>(214) 953-6500</t>
  </si>
  <si>
    <t>2001 Ross Avenue, Suite 900, Dallas, TX 75201</t>
  </si>
  <si>
    <t>501-1000</t>
  </si>
  <si>
    <t>$500M-$1B</t>
  </si>
  <si>
    <t>Blockchain, NFTs, Smart Contracts, DLT, Crypto Regulatory</t>
  </si>
  <si>
    <t>TOP TIER - Major Firm, Strong Tech/Blockchain Practice</t>
  </si>
  <si>
    <t>General + Crypto</t>
  </si>
  <si>
    <t>Vinson &amp; Elkins LLP</t>
  </si>
  <si>
    <t>velaw.com</t>
  </si>
  <si>
    <t>(214) 220-7700</t>
  </si>
  <si>
    <t>2001 Ross Avenue, Suite 3700, Dallas, TX 75201</t>
  </si>
  <si>
    <t>$1B-$10B</t>
  </si>
  <si>
    <t>Digital Assets, Crypto Regulatory, Antitrust/Crypto, SEC/CFTC</t>
  </si>
  <si>
    <t>TOP TIER - Major Firm, Strong Crypto Regulatory</t>
  </si>
  <si>
    <t>Haynes Boone, LLP</t>
  </si>
  <si>
    <t>haynesboone.com</t>
  </si>
  <si>
    <t>(214) 651-5000</t>
  </si>
  <si>
    <t>2323 Victory Avenue, Suite 700, Dallas, TX 75219</t>
  </si>
  <si>
    <t>$200M-$500M</t>
  </si>
  <si>
    <t>Digital Assets, DeFi, Crypto Lending, FinTech, Fund Formation</t>
  </si>
  <si>
    <t>TOP TIER - Dedicated Digital Assets Practice, Alex Grishman</t>
  </si>
  <si>
    <t>K&amp;L Gates LLP</t>
  </si>
  <si>
    <t>klgates.com</t>
  </si>
  <si>
    <t>(214) 939-5500</t>
  </si>
  <si>
    <t>1717 Main Street, Suite 2800, Dallas, TX 75201</t>
  </si>
  <si>
    <t>1001+</t>
  </si>
  <si>
    <t>Digital Assets, Crypto Exchanges, DeFi, NFTs, Payments, Banking Regulation</t>
  </si>
  <si>
    <t>TOP TIER - Pioneering Blockchain Practice, Jeremy McLaughlin</t>
  </si>
  <si>
    <t>Norton Rose Fulbright US LLP</t>
  </si>
  <si>
    <t>nortonrosefulbright.com</t>
  </si>
  <si>
    <t>(214) 855-8000</t>
  </si>
  <si>
    <t>2100 Ross Avenue, Suite 1600, Dallas, TX 75201</t>
  </si>
  <si>
    <t>Blockchain, Smart Contracts, Crypto Disputes, DLT, FinTech Regulation</t>
  </si>
  <si>
    <t>TOP TIER - Global FinTech Leader, Ronald David Smith</t>
  </si>
  <si>
    <t>Wilson Legal Group P.C.</t>
  </si>
  <si>
    <t>wilsonlegalgroup.com</t>
  </si>
  <si>
    <t>(972) 584-6022</t>
  </si>
  <si>
    <t>901 Main Street, Suite 6020, Dallas, TX 75202</t>
  </si>
  <si>
    <t>Cryptocurrency Law, Blockchain Technology, IP for Crypto, Tech Litigation</t>
  </si>
  <si>
    <t>MEDIUM PRIORITY - DFW Crypto Lawyer, IP Focus</t>
  </si>
  <si>
    <t>Jackson Walker LLP</t>
  </si>
  <si>
    <t>jw.com</t>
  </si>
  <si>
    <t>(214) 953-6000</t>
  </si>
  <si>
    <t>2323 Ross Avenue, Suite 600, Dallas, TX 75201</t>
  </si>
  <si>
    <t>201-500</t>
  </si>
  <si>
    <t>$100M-$200M</t>
  </si>
  <si>
    <t>Blockchain &amp; Cryptoassets, Digital Asset Funds, Crypto Mining, NFT Disputes</t>
  </si>
  <si>
    <t>TOP TIER - Texas Powerhouse, Michael Laussade leads practice</t>
  </si>
  <si>
    <t>Jones Day</t>
  </si>
  <si>
    <t>jonesday.com</t>
  </si>
  <si>
    <t>(214) 220-3939</t>
  </si>
  <si>
    <t>2727 North Harwood Street, Suite 400, Dallas, TX 75201</t>
  </si>
  <si>
    <t>ICO/Token Offerings, Crypto Litigation, SEC Enforcement, Regulatory Compliance</t>
  </si>
  <si>
    <t>TOP TIER - Global firm, Mark Rasmussen first SEC ICO receiver (AriseBank)</t>
  </si>
  <si>
    <t>Greenberg Traurig LLP</t>
  </si>
  <si>
    <t>gtlaw.com</t>
  </si>
  <si>
    <t>(214) 665-3600</t>
  </si>
  <si>
    <t>2200 Ross Avenue, Suite 5200, Dallas, TX 75201</t>
  </si>
  <si>
    <t>Token Structuring, ICOs, NFTs, Crypto Fund Formation, Exchange Formation</t>
  </si>
  <si>
    <t>TOP TIER - 100+ attorney Blockchain &amp; Digital Assets Group</t>
  </si>
  <si>
    <t>Sidley Austin LLP</t>
  </si>
  <si>
    <t>sidley.com</t>
  </si>
  <si>
    <t>(214) 981-3300</t>
  </si>
  <si>
    <t>2021 McKinney Avenue, Suite 2000, Dallas, TX 75201</t>
  </si>
  <si>
    <t>FinTech, Digital Assets, Crypto Regulatory, Blockchain Technology</t>
  </si>
  <si>
    <t>TOP TIER - Global FinTech Leader, Lilya Tessler leads practice</t>
  </si>
  <si>
    <t>DLA Piper LLP</t>
  </si>
  <si>
    <t>dlapiper.com</t>
  </si>
  <si>
    <t>(214) 743-4500</t>
  </si>
  <si>
    <t>1900 North Pearl Street, Suite 2200, Dallas, TX 75201</t>
  </si>
  <si>
    <t>Blockchain &amp; Digital Assets, Crypto Regulatory, Token Offerings, NFTs</t>
  </si>
  <si>
    <t>MEDIUM PRIORITY - Global Blockchain &amp; Digital Assets Group</t>
  </si>
  <si>
    <t>Burr &amp; Forman LLP</t>
  </si>
  <si>
    <t>burr.com</t>
  </si>
  <si>
    <t>(469) 313-5000</t>
  </si>
  <si>
    <t>3400 Carlisle Street, Suite 500, Dallas, TX 75204</t>
  </si>
  <si>
    <t>FinTech, Digital Assets, Crypto Regulatory Compliance</t>
  </si>
  <si>
    <t>MEDIUM PRIORITY - Regional firm with emerging blockchain practice</t>
  </si>
  <si>
    <t>Akin Gump Strauss Hauer &amp; Feld LLP</t>
  </si>
  <si>
    <t>akingump.com</t>
  </si>
  <si>
    <t>(214) 969-2800</t>
  </si>
  <si>
    <t>2300 N. Field Street, Suite 1800</t>
  </si>
  <si>
    <t>900+</t>
  </si>
  <si>
    <t>$1B+</t>
  </si>
  <si>
    <t>Digital Assets, Crypto M&amp;A, FinTech, Regulatory, Crypto Litigation</t>
  </si>
  <si>
    <t>High - Founded in Dallas, Tier 1 crypto practice, major restructuring work</t>
  </si>
  <si>
    <t>Troutman Pepper Locke LLP</t>
  </si>
  <si>
    <t>troutman.com</t>
  </si>
  <si>
    <t>(214) 999-3000</t>
  </si>
  <si>
    <t>2828 N. Harwood Street, Suite 1800</t>
  </si>
  <si>
    <t>1000+</t>
  </si>
  <si>
    <t>FinTech, Blockchain, Securities, Corporate, Emerging Tech</t>
  </si>
  <si>
    <t>Medium-High - Strong FinTech capabilities post-merger</t>
  </si>
  <si>
    <t>Attorney Name</t>
  </si>
  <si>
    <t>Title</t>
  </si>
  <si>
    <t>Firm Category</t>
  </si>
  <si>
    <t>Firm Tier</t>
  </si>
  <si>
    <t>Professional Email</t>
  </si>
  <si>
    <t>Email Status</t>
  </si>
  <si>
    <t>Mobile Phone</t>
  </si>
  <si>
    <t>Jason B. Freeman</t>
  </si>
  <si>
    <t>Founding Partner, Attorney-CPA</t>
  </si>
  <si>
    <t>HIGH PRIORITY - Leading Crypto Tax Attorney, ABA Top 40, SMU Law Professor</t>
  </si>
  <si>
    <t>jason.freeman@freemanlaw.com</t>
  </si>
  <si>
    <t>To Be Verified</t>
  </si>
  <si>
    <t>Dr. Nick Oberheiden</t>
  </si>
  <si>
    <t>Founder &amp; Attorney</t>
  </si>
  <si>
    <t>HIGH PRIORITY - Former Federal Prosecutor, Crypto Defense</t>
  </si>
  <si>
    <t>info@federal-lawyer.com</t>
  </si>
  <si>
    <t>Arnold A. Spencer</t>
  </si>
  <si>
    <t>Founding Partner</t>
  </si>
  <si>
    <t>HIGH PRIORITY - Former AUSA (E.D. Texas), Coinsource General Counsel</t>
  </si>
  <si>
    <t>aspencer@aspencerlaw.com</t>
  </si>
  <si>
    <t>Verified</t>
  </si>
  <si>
    <t>Red Road Legal Team</t>
  </si>
  <si>
    <t>Cryptocurrency Law Practice</t>
  </si>
  <si>
    <t>info@redroadlegal.com</t>
  </si>
  <si>
    <t>Jeffrey M. Glassman</t>
  </si>
  <si>
    <t>Partner</t>
  </si>
  <si>
    <t>HIGH PRIORITY - Leading crypto tax expert, 2022 John S. Nolan Fellow (ABA Tax Section), Chair TX Tax Controversy Committee</t>
  </si>
  <si>
    <t>jglassman@meadowscollier.com</t>
  </si>
  <si>
    <t>(214) 749-2417</t>
  </si>
  <si>
    <t>Anthony P. Daddino</t>
  </si>
  <si>
    <t>Managing Partner</t>
  </si>
  <si>
    <t>HIGH PRIORITY - Managing Partner, Crypto tax issues, IRS examinations</t>
  </si>
  <si>
    <t>adaddino@meadowscollier.com</t>
  </si>
  <si>
    <t>R. Damon Rowe</t>
  </si>
  <si>
    <t>HIGH - White collar &amp; tax considerations with cryptocurrency</t>
  </si>
  <si>
    <t>drowe@meadowscollier.com</t>
  </si>
  <si>
    <t>Michael A. Villa, Jr.</t>
  </si>
  <si>
    <t>Medium-High - Cryptocurrency and Digital Assets practice</t>
  </si>
  <si>
    <t>mvilla@meadowscollier.com</t>
  </si>
  <si>
    <t>Alan K. Davis</t>
  </si>
  <si>
    <t>Medium-High - Cryptocurrency webinar presenter, Digital assets tax</t>
  </si>
  <si>
    <t>adavis@meadowscollier.com</t>
  </si>
  <si>
    <t>Matthew L. Roberts</t>
  </si>
  <si>
    <t>HIGH - Board Certified Tax Law (TX), Former attorney-advisor to U.S. Tax Court Chief Judge</t>
  </si>
  <si>
    <t>mroberts@meadowscollier.com</t>
  </si>
  <si>
    <t>Blockchain Team</t>
  </si>
  <si>
    <t>Technology Group</t>
  </si>
  <si>
    <t>info@bakerbotts.com</t>
  </si>
  <si>
    <t>Blockchain &amp; Digital Assets Group</t>
  </si>
  <si>
    <t>HIGH PRIORITY - 100+ attorney global blockchain group</t>
  </si>
  <si>
    <t>dallas@gtlaw.com</t>
  </si>
  <si>
    <t>Alexander Grishman</t>
  </si>
  <si>
    <t>Partner, Digital Assets</t>
  </si>
  <si>
    <t>TOP TIER - Led Galaxy Digital &amp; Arch Lending Deals</t>
  </si>
  <si>
    <t>alex.grishman@haynesboone.com</t>
  </si>
  <si>
    <t>(212) 918-8965</t>
  </si>
  <si>
    <t>Michael Laussade</t>
  </si>
  <si>
    <t>Partner, Blockchain Lead</t>
  </si>
  <si>
    <t>TOP TIER - Texas Powerhouse, Leads Blockchain Practice</t>
  </si>
  <si>
    <t>mlaussade@jw.com</t>
  </si>
  <si>
    <t>Mark W. Rasmussen</t>
  </si>
  <si>
    <t>HIGH PRIORITY - First-ever SEC ICO receiver (AriseBank), Co-author 'Blockchain for Business Lawyers'</t>
  </si>
  <si>
    <t>mrasmussen@jonesday.com</t>
  </si>
  <si>
    <t>Jeremy McLaughlin</t>
  </si>
  <si>
    <t>TOP TIER - Pioneering Blockchain Practice Leader</t>
  </si>
  <si>
    <t>jeremy.mclaughlin@klgates.com</t>
  </si>
  <si>
    <t>Ronald David Smith</t>
  </si>
  <si>
    <t>TOP TIER - Global FinTech Leader</t>
  </si>
  <si>
    <t>ronald.smith@nortonrosefulbright.com</t>
  </si>
  <si>
    <t>Lilya Tessler</t>
  </si>
  <si>
    <t>Partner, Global FinTech &amp; Blockchain Leader</t>
  </si>
  <si>
    <t>HIGH PRIORITY - Global FinTech &amp; Blockchain practice leader</t>
  </si>
  <si>
    <t>ltessler@sidley.com</t>
  </si>
  <si>
    <t>Digital Assets Team</t>
  </si>
  <si>
    <t>Practice Group</t>
  </si>
  <si>
    <t>TOP TIER - Leading Crypto Regulatory Firm</t>
  </si>
  <si>
    <t>info@velaw.com</t>
  </si>
  <si>
    <t>FinTech Practice Group</t>
  </si>
  <si>
    <t>dallas@burr.com</t>
  </si>
  <si>
    <t>info.dallas@dlapiper.com</t>
  </si>
  <si>
    <t>James A. Cox</t>
  </si>
  <si>
    <t>Of Counsel (Former)</t>
  </si>
  <si>
    <t>MEDIUM PRIORITY - Former blockchain practice contributor</t>
  </si>
  <si>
    <t>jacox@jonesday.com</t>
  </si>
  <si>
    <t>Historical</t>
  </si>
  <si>
    <t>Not Available</t>
  </si>
  <si>
    <t>Mark Wilson</t>
  </si>
  <si>
    <t>Managing Attorney</t>
  </si>
  <si>
    <t>info@wilsonlegalgroup.com</t>
  </si>
  <si>
    <t>Nicholas R. Lombardi</t>
  </si>
  <si>
    <t>Counsel</t>
  </si>
  <si>
    <t>HIGH PRIORITY - Pioneer in crypto litigation, crypto bankruptcy, CryptoLink newsletter contributor</t>
  </si>
  <si>
    <t>nlombardi@akingump.com</t>
  </si>
  <si>
    <t>(214) 969-2723</t>
  </si>
  <si>
    <t>Jessica Jones Mannon</t>
  </si>
  <si>
    <t>HIGH - Digital Assets, Cryptocurrency &amp; Blockchain, CryptoLink contributor</t>
  </si>
  <si>
    <t>jmannon@akingump.com</t>
  </si>
  <si>
    <t>(214) 969-2876</t>
  </si>
  <si>
    <t>Michael Stanley</t>
  </si>
  <si>
    <t>Associate</t>
  </si>
  <si>
    <t>Medium-High - Digital Assets, Cryptocurrency &amp; Blockchain, CryptoLink contributor</t>
  </si>
  <si>
    <t>mstanley@akingump.com</t>
  </si>
  <si>
    <t>(214) 969-4752</t>
  </si>
  <si>
    <t>Keith J. Barnett</t>
  </si>
  <si>
    <t>HIGH - Chambers FinTech 2025, Crypto exchanges, Money transmission, National practice (Atlanta-based)</t>
  </si>
  <si>
    <t>keith.barnett@troutman.com</t>
  </si>
  <si>
    <t>(404) 885-3000</t>
  </si>
  <si>
    <t>Kim Phan</t>
  </si>
  <si>
    <t>HIGH - Chambers FinTech 2025, Privacy &amp; Data Security for FinTech, Crypto regulatory</t>
  </si>
  <si>
    <t>kim.phan@troutman.com</t>
  </si>
  <si>
    <t>James Kim</t>
  </si>
  <si>
    <t>Medium-High - Chambers FinTech 2025, FinTech &amp; Payments</t>
  </si>
  <si>
    <t>james.kim@troutman.com</t>
  </si>
  <si>
    <t>Main Phone</t>
  </si>
  <si>
    <t>Primary Location</t>
  </si>
  <si>
    <t>Firm Size</t>
  </si>
  <si>
    <t>Revenue Range</t>
  </si>
  <si>
    <t>Practice Focus</t>
  </si>
  <si>
    <t>Cenkus Law</t>
  </si>
  <si>
    <t>cenkuslaw.com</t>
  </si>
  <si>
    <t>(512) 888-9860</t>
  </si>
  <si>
    <t>Austin, TX</t>
  </si>
  <si>
    <t>Crypto/Blockchain Law, Cannabis Law, Corporate</t>
  </si>
  <si>
    <t>HIGH PRIORITY - Accepts Bitcoin</t>
  </si>
  <si>
    <t>(888) 443-5485</t>
  </si>
  <si>
    <t>Austin, TX (Texas-wide practice)</t>
  </si>
  <si>
    <t>Blockchain, Cryptocurrency, NFTs, DAOs, Smart Contracts</t>
  </si>
  <si>
    <t>HIGH PRIORITY - Pure Blockchain Focus</t>
  </si>
  <si>
    <t>Tier 3</t>
  </si>
  <si>
    <t>Promise Legal PLLC</t>
  </si>
  <si>
    <t>promise.legal</t>
  </si>
  <si>
    <t>2028 E Ben White Blvd Suite 240-7210, Austin, TX 78741</t>
  </si>
  <si>
    <t>Startup Law, Blockchain/Web3, ICO, Smart Contracts, IP</t>
  </si>
  <si>
    <t>HIGH PRIORITY - Small Boutique</t>
  </si>
  <si>
    <t>Mr. Crypto Tax Law PLLC</t>
  </si>
  <si>
    <t>mrcrypto.tax</t>
  </si>
  <si>
    <t>Austin/DC/Miami (Nationwide Federal Tax Practice)</t>
  </si>
  <si>
    <t>$100K-$500K</t>
  </si>
  <si>
    <t>Cryptocurrency Tax Law, DeFi Taxation, NFT Tax</t>
  </si>
  <si>
    <t>MEDIUM PRIORITY - Tax Specialist</t>
  </si>
  <si>
    <t>Austin, TX (Multi-Office)</t>
  </si>
  <si>
    <t>2000+</t>
  </si>
  <si>
    <t>$2B+</t>
  </si>
  <si>
    <t>Fintech, Blockchain, Digital Assets, Regulatory</t>
  </si>
  <si>
    <t>MEDIUM PRIORITY - AmLaw 50</t>
  </si>
  <si>
    <t>Greenberg Traurig, LLP</t>
  </si>
  <si>
    <t>$1.5B+</t>
  </si>
  <si>
    <t>Blockchain, Digital Assets, Crypto Litigation, Regulatory</t>
  </si>
  <si>
    <t>Structure Law Group, LLP</t>
  </si>
  <si>
    <t>structurelaw.com</t>
  </si>
  <si>
    <t>(408) 441-7500</t>
  </si>
  <si>
    <t>6836 Austin Center Blvd, Austin, TX</t>
  </si>
  <si>
    <t>$10M-$25M</t>
  </si>
  <si>
    <t>Web3, Blockchain, AI, Digital Assets, Tech Startups</t>
  </si>
  <si>
    <t>HIGH PRIORITY - Strong Web3/AI Practice</t>
  </si>
  <si>
    <t>350+</t>
  </si>
  <si>
    <t>$200M+</t>
  </si>
  <si>
    <t>Blockchain Technology, Digital Ledger Systems, Tech Law</t>
  </si>
  <si>
    <t>HIGH PRIORITY - Leading TX Blockchain Practice</t>
  </si>
  <si>
    <t>Latham &amp; Watkins LLP</t>
  </si>
  <si>
    <t>lw.com</t>
  </si>
  <si>
    <t>300 Colorado St. Suite 2400, Austin, TX 78701</t>
  </si>
  <si>
    <t>3000+</t>
  </si>
  <si>
    <t>$5B+</t>
  </si>
  <si>
    <t>Crypto, Web3, Fintech, Digital Assets, Regulatory</t>
  </si>
  <si>
    <t>MEDIUM PRIORITY - AmLaw Top 10</t>
  </si>
  <si>
    <t>Bracewell LLP</t>
  </si>
  <si>
    <t>bracewell.com</t>
  </si>
  <si>
    <t>Texas (verify Austin office)</t>
  </si>
  <si>
    <t>400+</t>
  </si>
  <si>
    <t>$400M+</t>
  </si>
  <si>
    <t>Digital Assets, Fintech, Blockchain, Regulatory</t>
  </si>
  <si>
    <t>MEDIUM-LOW PRIORITY</t>
  </si>
  <si>
    <t>(512) 482-6800</t>
  </si>
  <si>
    <t>2801 Vía Fortuna, Suite 650, Austin, TX 78746</t>
  </si>
  <si>
    <t>Blockchain, Cryptocurrency, Digital Assets, Fintech</t>
  </si>
  <si>
    <t>MEDIUM PRIORITY - AmLaw 100</t>
  </si>
  <si>
    <t>(512) 474-5201</t>
  </si>
  <si>
    <t>98 San Jacinto Boulevard, Suite 1100, Austin, TX 78701</t>
  </si>
  <si>
    <t>Blockchain, Cryptocurrency, Digital Assets</t>
  </si>
  <si>
    <t>Austin Office</t>
  </si>
  <si>
    <t>3500+</t>
  </si>
  <si>
    <t>$3B+</t>
  </si>
  <si>
    <t>Blockchain, Crypto, Fintech, Digital Assets</t>
  </si>
  <si>
    <t>MEDIUM PRIORITY - Top 5 Global Firm</t>
  </si>
  <si>
    <t>Gunderson Dettmer Stough Villeneuve Franklin &amp; Hachigian LLP</t>
  </si>
  <si>
    <t>gunder.com</t>
  </si>
  <si>
    <t>(512) 706-9400</t>
  </si>
  <si>
    <t>500 West 5th Street, Suite 1215, Austin, TX 78701</t>
  </si>
  <si>
    <t>VC/Startup Law, Web3/Blockchain, Fintech, Crypto</t>
  </si>
  <si>
    <t>HIGH PRIORITY - VC Leader w/ Web3</t>
  </si>
  <si>
    <t>Austin Legal Group</t>
  </si>
  <si>
    <t>austinlegalgroup.com</t>
  </si>
  <si>
    <t>Blockchain, Cryptocurrency, Corporate, Real Estate</t>
  </si>
  <si>
    <t>MEDIUM PRIORITY - Mid-Size Local</t>
  </si>
  <si>
    <t>Wilson Legal Group, P.C.</t>
  </si>
  <si>
    <t>Dallas (Serves Austin)</t>
  </si>
  <si>
    <t>Blockchain, Cryptocurrency, Business Law</t>
  </si>
  <si>
    <t>MEDIUM PRIORITY - Mid-Size TX Firm</t>
  </si>
  <si>
    <t>Office Phone</t>
  </si>
  <si>
    <t>LinkedIn Profile</t>
  </si>
  <si>
    <t>Practice Areas</t>
  </si>
  <si>
    <t>Notes</t>
  </si>
  <si>
    <t>Brett Cenkus</t>
  </si>
  <si>
    <t>To Be Found</t>
  </si>
  <si>
    <t>Crypto, Blockchain, Cannabis, Corporate</t>
  </si>
  <si>
    <t>Accepts Bitcoin for legal services. Web3-native practice.</t>
  </si>
  <si>
    <t>Robert Cherry</t>
  </si>
  <si>
    <t>Associate Attorney</t>
  </si>
  <si>
    <t>Part of crypto-friendly law firm.</t>
  </si>
  <si>
    <t>Founder/Principal Attorney</t>
  </si>
  <si>
    <t>Founding Attorney</t>
  </si>
  <si>
    <t>Blockchain, Web3, ICOs, Smart Contracts, Startup Law, IP</t>
  </si>
  <si>
    <t>Founded UT Journal of Law &amp; Technology 2015. Speaks at ABA TECHSHOW/SXSW on AI. Super Lawyers Rising Star. Fixed-fee bundles for startups.</t>
  </si>
  <si>
    <t>Johnny Luna</t>
  </si>
  <si>
    <t>Founder &amp; Cryptocurrency Tax Attorney</t>
  </si>
  <si>
    <t>johnny.luna.taxlaw@gmail.com</t>
  </si>
  <si>
    <t>linkedin.com/in/johnny-luna</t>
  </si>
  <si>
    <t>Crypto Tax Law, DeFi Taxation, NFT Tax, Yield Farming, Staking</t>
  </si>
  <si>
    <t>100+ crypto tax reconciliations. Nationwide federal tax practice. Active in crypto tax education/speaking circuit.</t>
  </si>
  <si>
    <t>Technology and life sciences transactions leader at Sidley.</t>
  </si>
  <si>
    <t>Austin T. Jackson</t>
  </si>
  <si>
    <t>AI/Web3 practice leader. Strong tech startup focus.</t>
  </si>
  <si>
    <t>Michael L. Laussade</t>
  </si>
  <si>
    <t>Blockchain technology and digital ledger practice chair.</t>
  </si>
  <si>
    <t>Sam Zabaneh</t>
  </si>
  <si>
    <t>Fintech &amp; Digital Assets Practice.</t>
  </si>
  <si>
    <t>Jenifer Smith</t>
  </si>
  <si>
    <t>Financial institutions and digital assets.</t>
  </si>
  <si>
    <t>Scott Craig</t>
  </si>
  <si>
    <t>Technology and fintech practice.</t>
  </si>
  <si>
    <t>Stephen Wink</t>
  </si>
  <si>
    <t>Corporate technology transactions.</t>
  </si>
  <si>
    <t>Yvette Valdez</t>
  </si>
  <si>
    <t>Technology and venture capital practice.</t>
  </si>
  <si>
    <t>Jeremy M. McLaughlin</t>
  </si>
  <si>
    <t>Investment management and fintech practice.</t>
  </si>
  <si>
    <t>Robert A. Schwinger</t>
  </si>
  <si>
    <t>Technology and innovation practice.</t>
  </si>
  <si>
    <t>Mark F. Radcliffe</t>
  </si>
  <si>
    <t>Technology and intellectual property practice.</t>
  </si>
  <si>
    <t>Austin C. Worrell</t>
  </si>
  <si>
    <t>Venture Capital, Web3, Blockchain, Startup Law, Corporate</t>
  </si>
  <si>
    <t>Co-founded KINO (AI streaming) and EG Global (Web3 social impact). Hands-on Web3 founder experience. USC Law.</t>
  </si>
  <si>
    <t>Boutique</t>
  </si>
  <si>
    <t>Crystal Venning Law PLLC / Crypto Law Hub</t>
  </si>
  <si>
    <t>cryptolawhub.com</t>
  </si>
  <si>
    <t>Houston, TX</t>
  </si>
  <si>
    <t>&lt;$1M</t>
  </si>
  <si>
    <t>AI, Blockchain, Cryptocurrency, Web3, DeFi, NFTs, Tokenomics, Crypto Litigation</t>
  </si>
  <si>
    <t>HIGH</t>
  </si>
  <si>
    <t>Wolfe Miglio, PLLC</t>
  </si>
  <si>
    <t>wolfemiglio.com</t>
  </si>
  <si>
    <t>Houston, TX &amp; Tokyo, Japan</t>
  </si>
  <si>
    <t>Cryptocurrency Law, Blockchain, ICOs, STOs, IEOs, Securities Compliance</t>
  </si>
  <si>
    <t>Berg PC</t>
  </si>
  <si>
    <t>bergpc.com</t>
  </si>
  <si>
    <t>$1M-$10M</t>
  </si>
  <si>
    <t>Crypto Fraud Recovery, Crypto Litigation, Blockchain Transactions, Smart Contracts</t>
  </si>
  <si>
    <t>Hendershot Cowart P.C.</t>
  </si>
  <si>
    <t>hchlawyers.com</t>
  </si>
  <si>
    <t>(713) 783-3110</t>
  </si>
  <si>
    <t>Cryptocurrency Protection, Fraud Recovery, Regulatory Defense, Blockchain Forensics</t>
  </si>
  <si>
    <t>Danziger &amp; De Llano LLP</t>
  </si>
  <si>
    <t>dandell.com</t>
  </si>
  <si>
    <t>Houston &amp; Dallas, TX</t>
  </si>
  <si>
    <t>Crypto Fraud Recovery, Investment Scams, Blockchain Analysis, Forensic Accounting</t>
  </si>
  <si>
    <t>MEDIUM</t>
  </si>
  <si>
    <t>The Cobos Law Firm</t>
  </si>
  <si>
    <t>cobos.law</t>
  </si>
  <si>
    <t>Austin, TX (serves Houston)</t>
  </si>
  <si>
    <t>Bitcoin, Blockchain, Cryptocurrency, Exchange Disputes, ICOs, Compliance</t>
  </si>
  <si>
    <t>Top Tier</t>
  </si>
  <si>
    <t>(713) 229-1234</t>
  </si>
  <si>
    <t>Houston, TX (HQ)</t>
  </si>
  <si>
    <t>Blockchain, NFTs, Smart Contracts, DLT, Crypto Regulatory, M&amp;A</t>
  </si>
  <si>
    <t>TOP TIER</t>
  </si>
  <si>
    <t>(713) 758-2222</t>
  </si>
  <si>
    <t>Digital Assets, Crypto Regulatory, FinTech, Energy/Tech Intersection</t>
  </si>
  <si>
    <t>(713) 651-5151</t>
  </si>
  <si>
    <t>Blockchain, Smart Contracts, Crypto Disputes, DLT, FinTech Thought Leadership</t>
  </si>
  <si>
    <t>(713) 752-4200</t>
  </si>
  <si>
    <t>(713) 374-3500</t>
  </si>
  <si>
    <t>Blockchain &amp; Digital Assets (100+ attorney group), Token Structuring, ICOs, NFTs</t>
  </si>
  <si>
    <t>(713) 495-4500</t>
  </si>
  <si>
    <t>FinTech, Digital Assets, Crypto Regulatory, Blockchain, Global FinTech Leader</t>
  </si>
  <si>
    <t>(713) 815-7300</t>
  </si>
  <si>
    <t>Digital Assets, Crypto Exchanges, DeFi, NFTs, Banking Regulation</t>
  </si>
  <si>
    <t>Haynes Boone LLP</t>
  </si>
  <si>
    <t>(713) 547-2000</t>
  </si>
  <si>
    <t>(713) 220-5800</t>
  </si>
  <si>
    <t>Digital Assets, Crypto M&amp;A, FinTech, Regulatory, Crypto Litigation, Restructuring</t>
  </si>
  <si>
    <t>(832) 239-3939</t>
  </si>
  <si>
    <t>ICO/Token Offerings, Crypto Litigation, SEC Enforcement, Digital Asset Disputes</t>
  </si>
  <si>
    <t>(713) 425-8400</t>
  </si>
  <si>
    <t>(713) 546-5400</t>
  </si>
  <si>
    <t>Regional</t>
  </si>
  <si>
    <t>Dallas, TX (serves Houston)</t>
  </si>
  <si>
    <t>$10M-$50M</t>
  </si>
  <si>
    <t>Cryptocurrency Law, Blockchain, IP for Crypto, Tech Litigation</t>
  </si>
  <si>
    <t>Crystal Victoria Venning</t>
  </si>
  <si>
    <t>Founder</t>
  </si>
  <si>
    <t>info@cryptolawhub.com</t>
  </si>
  <si>
    <t>Website Contact</t>
  </si>
  <si>
    <t>linkedin.com/in/crystal-v-966a2252/</t>
  </si>
  <si>
    <t>Yale BA, Columbia Law JD. Admitted: TX, NY, GA. Subscription model: $2,500-$10,000/month</t>
  </si>
  <si>
    <t>Todd Venning</t>
  </si>
  <si>
    <t>Of Counsel</t>
  </si>
  <si>
    <t>Blockchain, Cryptocurrency, Web3, Finance</t>
  </si>
  <si>
    <t>Brooklyn Law School JD, MS Finance</t>
  </si>
  <si>
    <t>Michael Miglio</t>
  </si>
  <si>
    <t>Needs Research</t>
  </si>
  <si>
    <t>Cryptocurrency Law, Blockchain, ICOs, STOs, Securities Compliance</t>
  </si>
  <si>
    <t>Houston office lead. One of world's first crypto-dedicated law firms (est. 2017)</t>
  </si>
  <si>
    <t>Adam Wolfe</t>
  </si>
  <si>
    <t>Cryptocurrency Law, Blockchain, International Crypto Transactions</t>
  </si>
  <si>
    <t>UT Austin BA, Indiana Maurer Law JD. Based in Tokyo office</t>
  </si>
  <si>
    <t>Lily Feng</t>
  </si>
  <si>
    <t>Securities Law, Blockchain, Cryptocurrency Compliance</t>
  </si>
  <si>
    <t>Tulane Law. Former SEC, Foley &amp; Lardner. Based between China and New York</t>
  </si>
  <si>
    <t>Geoffrey Berg</t>
  </si>
  <si>
    <t>Crypto Fraud Recovery, Crypto Litigation, Commercial Litigation</t>
  </si>
  <si>
    <t>UH Law Center 1994. TX Super Lawyers 2004-present. Best Lawyers in America 10+ years. AV Preeminent. Host: 'Geoff Berg Is Litigious' podcast</t>
  </si>
  <si>
    <t>Gil Melman</t>
  </si>
  <si>
    <t>Partner (Transactional)</t>
  </si>
  <si>
    <t>Crypto Transactions, M&amp;A, Smart Contracts, Token Offerings</t>
  </si>
  <si>
    <t>32+ years experience. Former international firm partner, in-house at public companies</t>
  </si>
  <si>
    <t>Philip Racusin</t>
  </si>
  <si>
    <t>Founder, Crypto Practice</t>
  </si>
  <si>
    <t>In blockchain since 2011. Early crypto adopter</t>
  </si>
  <si>
    <t>Andrew Cobos</t>
  </si>
  <si>
    <t>Accepts Bitcoin for legal services. Austin-based serving Houston market</t>
  </si>
  <si>
    <t>Paul Danziger</t>
  </si>
  <si>
    <t>paul@dandell.com</t>
  </si>
  <si>
    <t>(713) 222-9998</t>
  </si>
  <si>
    <t>Cryptocurrency Fraud Recovery, Blockchain Forensics, Crypto Litigation, Asset Recovery</t>
  </si>
  <si>
    <t>Texas Bar #00788880. 25+ years litigation experience. Firm pioneered crypto fraud recovery practice with blockchain analysis team</t>
  </si>
  <si>
    <t>Rodrigo "Rod" De Llano</t>
  </si>
  <si>
    <t>rod@dandell.com</t>
  </si>
  <si>
    <t>Cryptocurrency Fraud Recovery, Blockchain Forensics, Complex Litigation</t>
  </si>
  <si>
    <t>Texas Bar #00786666. Co-founder of crypto fraud recovery practice</t>
  </si>
  <si>
    <t>Partner, Commercial Litigation</t>
  </si>
  <si>
    <t>Blockchain Law, Crypto Litigation, DAOs, Digital Assets, Commercial Disputes</t>
  </si>
  <si>
    <t>Writes 'Blockchain Law' column for NY Law Journal. Thought leader in crypto litigation</t>
  </si>
  <si>
    <t>Partner, Blockchain Practice Chair</t>
  </si>
  <si>
    <t>Leads firm's Blockchain &amp; Cryptoassets practice. Represented Bitcoin mining facility acquisitions (100 acres, 190K sq ft)</t>
  </si>
  <si>
    <t>FinTech, Digital Assets, Crypto Regulatory, Blockchain</t>
  </si>
  <si>
    <t>Global leader of Sidley's FinTech &amp; Blockchain practice</t>
  </si>
  <si>
    <t>Partner, Blockchain Practice Leader</t>
  </si>
  <si>
    <t>Pioneering blockchain practice leader at K&amp;L Gates</t>
  </si>
  <si>
    <t>Led Galaxy Digital &amp; Arch Lending deals. NYC-based but serves Houston office</t>
  </si>
  <si>
    <t>Former Federal Prosecutor. Dallas-based serving Houston market</t>
  </si>
  <si>
    <t>Alina Veneziano</t>
  </si>
  <si>
    <t>Blockchain &amp; CPA Team Lead</t>
  </si>
  <si>
    <t>Blockchain Compliance, Crypto Tax, Federal Crypto Regulation</t>
  </si>
  <si>
    <t>CPA with blockchain expertise. Dallas-based serving Houston market</t>
  </si>
  <si>
    <t>Michael L. Loesch</t>
  </si>
  <si>
    <t>Blockchain Technology, Digital Assets, Technology Transactions, FinTech</t>
  </si>
  <si>
    <t>Leads Baker Botts blockchain practice. Advised Consensys on major crypto M&amp;A deals. Houston-based firm (HQ)</t>
  </si>
  <si>
    <t>Samuel C. Dibble</t>
  </si>
  <si>
    <t>Blockchain Technology, NFTs, Digital Assets, Technology Transactions</t>
  </si>
  <si>
    <t>Blockchain and NFT specialist in Baker Botts technology practice</t>
  </si>
  <si>
    <t>Jon Lobb</t>
  </si>
  <si>
    <t>Partner (Tax)</t>
  </si>
  <si>
    <t>Tax Law, Cryptocurrency Transactions, Digital Asset Tax Planning, Blockchain</t>
  </si>
  <si>
    <t>Houston-based. Advised Consensys on tax aspects of crypto acquisitions (WalletGuard, Web3Auth)</t>
  </si>
  <si>
    <t>Barbara A. Jones</t>
  </si>
  <si>
    <t>Chair, Blockchain &amp; Digital Assets Practice</t>
  </si>
  <si>
    <t>Blockchain, Digital Assets, FinTech, Securities, Regulatory Compliance</t>
  </si>
  <si>
    <t>Los Angeles-based but chairs global 100+ attorney Blockchain &amp; Digital Assets Practice serving Houston</t>
  </si>
  <si>
    <t>Marina Olman-Pal</t>
  </si>
  <si>
    <t>Shareholder</t>
  </si>
  <si>
    <t>Financial Institutions, BSA/AML Compliance, Cryptocurrency Regulatory, Digital Assets</t>
  </si>
  <si>
    <t>Key member of Blockchain &amp; Digital Assets Practice. Specializes in crypto regulatory and AML compliance</t>
  </si>
  <si>
    <t>Cryptocurrency Litigation, Digital Asset Receivership, SEC Enforcement, Blockchain</t>
  </si>
  <si>
    <t>Dallas-based serving Houston. First-ever SEC ICO receiver (AriseBank case). Co-author "Blockchain for Business Lawyers"</t>
  </si>
  <si>
    <t>Cryptocurrency Litigation, Bankruptcy, Digital Assets, CryptoLink Newsletter</t>
  </si>
  <si>
    <t>Dallas-based serving Houston. Leads crypto litigation and publishes CryptoLink industry newsletter</t>
  </si>
  <si>
    <t>Gabriel D. Weiner</t>
  </si>
  <si>
    <t>Web3, Cryptocurrency, AI, Digital Assets, Emerging Technology</t>
  </si>
  <si>
    <t>Web3 and AI specialist in Akin Gump digital assets practice</t>
  </si>
  <si>
    <t>Mark Radcliffe</t>
  </si>
  <si>
    <t>Partner, US Blockchain Practice Co-Leader</t>
  </si>
  <si>
    <t>Blockchain, Digital Assets, Technology Transactions, Open Source, FinTech</t>
  </si>
  <si>
    <t>Silicon Valley-based. Co-leads DLA Piper global blockchain practice serving Houston</t>
  </si>
  <si>
    <t>Margo Tank</t>
  </si>
  <si>
    <t>Blockchain, Digital Assets, Financial Regulatory, Electronic Payments, FinTech</t>
  </si>
  <si>
    <t>Washington DC-based. Co-leads DLA Piper US blockchain practice serving Houston</t>
  </si>
  <si>
    <t>Partner, Global Co-Chair FinTech &amp; Digital Assets</t>
  </si>
  <si>
    <t>Digital Assets, Web3, Cryptocurrency, FinTech, NFT Platforms, DeFi, Securities</t>
  </si>
  <si>
    <t>NYC/Austin-based. Global Co-Chair of Digital Assets &amp; Web3 practice. Chambers Band 1 FinTech. Serves Houston market</t>
  </si>
  <si>
    <t>Clayton Heery</t>
  </si>
  <si>
    <t>Partner (M&amp;A)</t>
  </si>
  <si>
    <t>M&amp;A, Technology Transactions, Energy, Infrastructure, Private Equity</t>
  </si>
  <si>
    <t>Houston-based. Promoted to Partner October 2025. Focus on energy, infrastructure and technology M&amp;A</t>
  </si>
  <si>
    <t>John T. Wilson</t>
  </si>
  <si>
    <t>(972) 248-8080</t>
  </si>
  <si>
    <t>Cryptocurrency Law, Blockchain Technology, IP Litigation, Patent/Trademark, Technology</t>
  </si>
  <si>
    <t>Dallas-based firm (d/b/a Wilson Whitaker Rynell) serving Houston. 2025 Texas Super Lawyers. Former Fish &amp; Richardson. Computer programmer background</t>
  </si>
  <si>
    <t>Michael Kurzer</t>
  </si>
  <si>
    <t>Partner, Technology Transactions &amp; IP</t>
  </si>
  <si>
    <t>Technology Transactions, Intellectual Property, AI Regulation, Digital Infrastructure, FinTech</t>
  </si>
  <si>
    <t>Houston HQ. Speaker on AI regulation topics (Nasdaq TradeTalks). Focus on technology/IP with digital infrastructure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</si>
</sst>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b/>
      <sz val="16"/>
      <name val="Calibri"/>
    </font>
    <font>
      <sz val="11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4" xfId="0" applyFont="1" applyBorder="1"/>
    <xf numFmtId="0" fontId="4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8" fillId="6" borderId="5" xfId="0" applyFont="1" applyFill="1" applyBorder="1" applyAlignment="1">
      <alignment horizontal="center"/>
    </xf>
    <xf numFmtId="0" fontId="4" fillId="0" borderId="5" xfId="0" applyFont="1" applyBorder="1"/>
    <xf numFmtId="0" fontId="9" fillId="0" borderId="5" xfId="0" applyFont="1" applyBorder="1"/>
    <xf numFmtId="0" fontId="4" fillId="0" borderId="5" xfId="0" applyFont="1" applyBorder="1" applyAlignment="1">
      <alignment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4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opLeftCell="A7" zoomScaleNormal="100" workbookViewId="0"/>
  </sheetViews>
  <sheetFormatPr defaultColWidth="8.6640625" defaultRowHeight="14.25" x14ac:dyDescent="0.45"/>
  <cols>
    <col min="1" max="1" width="30" customWidth="1"/>
    <col min="2" max="2" width="15" customWidth="1"/>
    <col min="3" max="3" width="18" customWidth="1"/>
    <col min="4" max="4" width="24" customWidth="1"/>
    <col min="5" max="5" width="22" customWidth="1"/>
    <col min="6" max="6" width="15" customWidth="1"/>
  </cols>
  <sheetData>
    <row r="1" spans="1:9" ht="18" customHeight="1" x14ac:dyDescent="0.6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ht="15" customHeight="1" x14ac:dyDescent="0.45">
      <c r="A2" s="17" t="s">
        <v>1</v>
      </c>
      <c r="B2" s="16"/>
      <c r="C2" s="16"/>
      <c r="D2" s="16"/>
      <c r="E2" s="16"/>
      <c r="F2" s="16"/>
      <c r="G2" s="16"/>
      <c r="H2" s="16"/>
      <c r="I2" s="16"/>
    </row>
    <row r="3" spans="1:9" ht="15" customHeight="1" x14ac:dyDescent="0.45">
      <c r="A3" s="17" t="s">
        <v>2</v>
      </c>
      <c r="B3" s="16"/>
      <c r="C3" s="16"/>
      <c r="D3" s="16"/>
      <c r="E3" s="16"/>
      <c r="F3" s="16"/>
      <c r="G3" s="16"/>
      <c r="H3" s="16"/>
      <c r="I3" s="16"/>
    </row>
    <row r="4" spans="1:9" x14ac:dyDescent="0.45">
      <c r="A4" s="16"/>
      <c r="B4" s="16"/>
      <c r="C4" s="16"/>
      <c r="D4" s="16"/>
      <c r="E4" s="16"/>
      <c r="F4" s="16"/>
      <c r="G4" s="16"/>
      <c r="H4" s="16"/>
      <c r="I4" s="16"/>
    </row>
    <row r="5" spans="1:9" ht="17.25" customHeight="1" x14ac:dyDescent="0.45">
      <c r="A5" s="18" t="s">
        <v>3</v>
      </c>
      <c r="B5" s="16"/>
      <c r="C5" s="16"/>
      <c r="D5" s="16"/>
      <c r="E5" s="16"/>
      <c r="F5" s="16"/>
      <c r="G5" s="16"/>
      <c r="H5" s="16"/>
      <c r="I5" s="16"/>
    </row>
    <row r="6" spans="1:9" ht="28.5" customHeight="1" x14ac:dyDescent="0.45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6"/>
      <c r="H6" s="16"/>
      <c r="I6" s="16"/>
    </row>
    <row r="7" spans="1:9" ht="14.25" customHeight="1" x14ac:dyDescent="0.45">
      <c r="A7" s="20" t="s">
        <v>10</v>
      </c>
      <c r="B7" s="20">
        <f>COUNTA('North &amp; West TX - Firms'!C:C)-1</f>
        <v>20</v>
      </c>
      <c r="C7" s="20">
        <f>COUNTIF('North &amp; West TX - Firms'!A:A,"Specialty")</f>
        <v>5</v>
      </c>
      <c r="D7" s="20">
        <f>COUNTIF('North &amp; West TX - Firms'!A:A,"General + Crypto")</f>
        <v>14</v>
      </c>
      <c r="E7" s="20">
        <f>COUNTA('North &amp; West TX - Contacts'!A:A)-1</f>
        <v>29</v>
      </c>
      <c r="F7" s="20">
        <f>COUNTIF('North &amp; West TX - Contacts'!H:H,"Verified")</f>
        <v>8</v>
      </c>
      <c r="G7" s="16"/>
      <c r="H7" s="16"/>
      <c r="I7" s="16"/>
    </row>
    <row r="8" spans="1:9" ht="14.25" customHeight="1" x14ac:dyDescent="0.45">
      <c r="A8" s="20" t="s">
        <v>11</v>
      </c>
      <c r="B8" s="20">
        <f>COUNTA('Central &amp; South TX - Firms'!C:C)-1</f>
        <v>16</v>
      </c>
      <c r="C8" s="20">
        <f>COUNTIF('Central &amp; South TX - Firms'!A:A,"Specialty")</f>
        <v>4</v>
      </c>
      <c r="D8" s="20">
        <f>COUNTIF('Central &amp; South TX - Firms'!A:A,"General + Crypto")</f>
        <v>12</v>
      </c>
      <c r="E8" s="20">
        <f>COUNTA('Central &amp; South TX - Contacts'!A:A)-1</f>
        <v>16</v>
      </c>
      <c r="F8" s="20">
        <f>COUNTIF('Central &amp; South TX - Contacts'!H:H,"Verified")</f>
        <v>1</v>
      </c>
      <c r="G8" s="16"/>
      <c r="H8" s="16"/>
      <c r="I8" s="16"/>
    </row>
    <row r="9" spans="1:9" ht="14.25" customHeight="1" x14ac:dyDescent="0.45">
      <c r="A9" s="20" t="s">
        <v>12</v>
      </c>
      <c r="B9" s="20">
        <f>COUNTA('Gulf Coast &amp; East TX - Firms'!C:C)-1</f>
        <v>20</v>
      </c>
      <c r="C9" s="20">
        <f>COUNTIF('Gulf Coast &amp; East TX - Firms'!A:A,"Specialty")</f>
        <v>6</v>
      </c>
      <c r="D9" s="20">
        <f>COUNTIF('Gulf Coast &amp; East TX - Firms'!A:A,"General + Crypto")</f>
        <v>14</v>
      </c>
      <c r="E9" s="20">
        <f>COUNTA('Gulf Coast &amp; East TX - Contacts'!A:A)-1</f>
        <v>32</v>
      </c>
      <c r="F9" s="20">
        <f>COUNTIF('Gulf Coast &amp; East TX - Contacts'!H:H,"Verified")</f>
        <v>3</v>
      </c>
      <c r="G9" s="16"/>
      <c r="H9" s="16"/>
      <c r="I9" s="16"/>
    </row>
    <row r="10" spans="1:9" ht="14.25" customHeight="1" x14ac:dyDescent="0.45">
      <c r="A10" s="21" t="s">
        <v>13</v>
      </c>
      <c r="B10" s="21">
        <f>SUM(B7:B9)</f>
        <v>56</v>
      </c>
      <c r="C10" s="21">
        <f>SUM(C7:C9)</f>
        <v>15</v>
      </c>
      <c r="D10" s="21">
        <f>SUM(D7:D9)</f>
        <v>40</v>
      </c>
      <c r="E10" s="21">
        <f>SUM(E7:E9)</f>
        <v>77</v>
      </c>
      <c r="F10" s="21">
        <f>SUM(F7:F9)</f>
        <v>12</v>
      </c>
      <c r="G10" s="16"/>
      <c r="H10" s="16"/>
      <c r="I10" s="16"/>
    </row>
    <row r="11" spans="1:9" x14ac:dyDescent="0.4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4.25" customHeight="1" x14ac:dyDescent="0.45">
      <c r="A12" s="18" t="s">
        <v>14</v>
      </c>
      <c r="B12" s="16"/>
      <c r="C12" s="16"/>
      <c r="D12" s="16"/>
      <c r="E12" s="16"/>
      <c r="F12" s="16"/>
      <c r="G12" s="16"/>
      <c r="H12" s="16"/>
      <c r="I12" s="16"/>
    </row>
    <row r="13" spans="1:9" x14ac:dyDescent="0.45">
      <c r="A13" s="19" t="s">
        <v>4</v>
      </c>
      <c r="B13" s="19" t="s">
        <v>15</v>
      </c>
      <c r="C13" s="19" t="s">
        <v>16</v>
      </c>
      <c r="D13" s="19" t="s">
        <v>17</v>
      </c>
      <c r="E13" s="19" t="s">
        <v>18</v>
      </c>
      <c r="F13" s="16"/>
      <c r="G13" s="16"/>
      <c r="H13" s="16"/>
      <c r="I13" s="16"/>
    </row>
    <row r="14" spans="1:9" ht="14.25" customHeight="1" x14ac:dyDescent="0.45">
      <c r="A14" s="22" t="s">
        <v>19</v>
      </c>
      <c r="B14" s="22" t="s">
        <v>20</v>
      </c>
      <c r="C14" s="22" t="s">
        <v>21</v>
      </c>
      <c r="D14" s="22" t="s">
        <v>22</v>
      </c>
      <c r="E14" s="22" t="s">
        <v>23</v>
      </c>
      <c r="F14" s="16"/>
      <c r="G14" s="16"/>
      <c r="H14" s="16"/>
      <c r="I14" s="16"/>
    </row>
    <row r="15" spans="1:9" ht="14.25" customHeight="1" x14ac:dyDescent="0.45">
      <c r="A15" s="22" t="s">
        <v>24</v>
      </c>
      <c r="B15" s="22" t="s">
        <v>25</v>
      </c>
      <c r="C15" s="22" t="s">
        <v>26</v>
      </c>
      <c r="D15" s="22" t="s">
        <v>27</v>
      </c>
      <c r="E15" s="22" t="s">
        <v>28</v>
      </c>
      <c r="F15" s="16"/>
      <c r="G15" s="16"/>
      <c r="H15" s="16"/>
      <c r="I15" s="16"/>
    </row>
    <row r="16" spans="1:9" ht="14.25" customHeight="1" x14ac:dyDescent="0.45">
      <c r="A16" s="22" t="s">
        <v>29</v>
      </c>
      <c r="B16" s="22" t="s">
        <v>30</v>
      </c>
      <c r="C16" s="22" t="s">
        <v>31</v>
      </c>
      <c r="D16" s="22" t="s">
        <v>32</v>
      </c>
      <c r="E16" s="22" t="s">
        <v>33</v>
      </c>
      <c r="F16" s="16"/>
      <c r="G16" s="16"/>
      <c r="H16" s="16"/>
      <c r="I16" s="16"/>
    </row>
    <row r="17" spans="1:9" ht="14.25" customHeight="1" x14ac:dyDescent="0.45">
      <c r="A17" s="16"/>
      <c r="B17" s="16"/>
      <c r="C17" s="16"/>
      <c r="D17" s="16"/>
      <c r="E17" s="16"/>
      <c r="F17" s="16"/>
      <c r="G17" s="16"/>
      <c r="H17" s="16"/>
      <c r="I17" s="16"/>
    </row>
    <row r="18" spans="1:9" x14ac:dyDescent="0.4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4.25" customHeight="1" x14ac:dyDescent="0.45">
      <c r="A19" s="18" t="s">
        <v>34</v>
      </c>
      <c r="B19" s="16"/>
      <c r="C19" s="16"/>
      <c r="D19" s="16"/>
      <c r="E19" s="16"/>
      <c r="F19" s="16"/>
      <c r="G19" s="16"/>
      <c r="H19" s="16"/>
      <c r="I19" s="16"/>
    </row>
    <row r="20" spans="1:9" ht="14.25" customHeight="1" x14ac:dyDescent="0.45">
      <c r="A20" s="17" t="s">
        <v>35</v>
      </c>
      <c r="B20" s="16"/>
      <c r="C20" s="16"/>
      <c r="D20" s="16"/>
      <c r="E20" s="16"/>
      <c r="F20" s="16"/>
      <c r="G20" s="16"/>
      <c r="H20" s="16"/>
      <c r="I20" s="16"/>
    </row>
    <row r="21" spans="1:9" ht="14.25" customHeight="1" x14ac:dyDescent="0.45">
      <c r="A21" s="17" t="s">
        <v>36</v>
      </c>
      <c r="B21" s="16"/>
      <c r="C21" s="16"/>
      <c r="D21" s="16"/>
      <c r="E21" s="16"/>
      <c r="F21" s="16"/>
      <c r="G21" s="16"/>
      <c r="H21" s="16"/>
      <c r="I21" s="16"/>
    </row>
    <row r="22" spans="1:9" ht="14.25" customHeight="1" x14ac:dyDescent="0.45">
      <c r="A22" s="17" t="s">
        <v>37</v>
      </c>
      <c r="B22" s="16"/>
      <c r="C22" s="16"/>
      <c r="D22" s="16"/>
      <c r="E22" s="16"/>
      <c r="F22" s="16"/>
      <c r="G22" s="16"/>
      <c r="H22" s="16"/>
      <c r="I22" s="16"/>
    </row>
    <row r="23" spans="1:9" ht="14.25" customHeight="1" x14ac:dyDescent="0.45">
      <c r="A23" s="16"/>
      <c r="B23" s="16"/>
      <c r="C23" s="16"/>
      <c r="D23" s="16"/>
      <c r="E23" s="16"/>
      <c r="F23" s="16"/>
      <c r="G23" s="16"/>
      <c r="H23" s="16"/>
      <c r="I23" s="16"/>
    </row>
    <row r="24" spans="1:9" x14ac:dyDescent="0.45">
      <c r="A24" s="18" t="s">
        <v>38</v>
      </c>
      <c r="B24" s="16"/>
      <c r="C24" s="16"/>
      <c r="D24" s="16"/>
      <c r="E24" s="16"/>
      <c r="F24" s="16"/>
      <c r="G24" s="16"/>
      <c r="H24" s="16"/>
      <c r="I24" s="16"/>
    </row>
    <row r="25" spans="1:9" ht="14.25" customHeight="1" x14ac:dyDescent="0.45">
      <c r="A25" s="17" t="s">
        <v>39</v>
      </c>
      <c r="B25" s="16"/>
      <c r="C25" s="16"/>
      <c r="D25" s="16"/>
      <c r="E25" s="16"/>
      <c r="F25" s="16"/>
      <c r="G25" s="16"/>
      <c r="H25" s="16"/>
      <c r="I25" s="16"/>
    </row>
    <row r="26" spans="1:9" x14ac:dyDescent="0.45">
      <c r="A26" s="17" t="s">
        <v>40</v>
      </c>
      <c r="B26" s="16"/>
      <c r="C26" s="16"/>
      <c r="D26" s="16"/>
      <c r="E26" s="16"/>
      <c r="F26" s="16"/>
      <c r="G26" s="16"/>
      <c r="H26" s="16"/>
      <c r="I26" s="16"/>
    </row>
    <row r="27" spans="1:9" ht="14.25" customHeight="1" x14ac:dyDescent="0.45">
      <c r="A27" s="17" t="s">
        <v>41</v>
      </c>
      <c r="B27" s="16"/>
      <c r="C27" s="16"/>
      <c r="D27" s="16"/>
      <c r="E27" s="16"/>
      <c r="F27" s="16"/>
      <c r="G27" s="16"/>
      <c r="H27" s="16"/>
      <c r="I27" s="16"/>
    </row>
    <row r="28" spans="1:9" ht="14.25" customHeight="1" x14ac:dyDescent="0.45">
      <c r="A28" s="17" t="s">
        <v>42</v>
      </c>
      <c r="B28" s="16"/>
      <c r="C28" s="16"/>
      <c r="D28" s="16"/>
      <c r="E28" s="16"/>
      <c r="F28" s="16"/>
      <c r="G28" s="16"/>
      <c r="H28" s="16"/>
      <c r="I28" s="16"/>
    </row>
    <row r="29" spans="1:9" x14ac:dyDescent="0.45">
      <c r="A29" s="16"/>
      <c r="B29" s="16"/>
      <c r="C29" s="16"/>
      <c r="D29" s="16"/>
      <c r="E29" s="16"/>
      <c r="F29" s="16"/>
      <c r="G29" s="16"/>
      <c r="H29" s="16"/>
      <c r="I29" s="16"/>
    </row>
    <row r="30" spans="1:9" ht="14.25" customHeight="1" x14ac:dyDescent="0.45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14.25" customHeight="1" x14ac:dyDescent="0.45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14.25" customHeight="1" x14ac:dyDescent="0.4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45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14.25" customHeight="1" x14ac:dyDescent="0.45">
      <c r="A34" s="16"/>
      <c r="B34" s="16"/>
      <c r="C34" s="16"/>
      <c r="D34" s="16"/>
      <c r="E34" s="16"/>
      <c r="F34" s="16"/>
      <c r="G34" s="16"/>
      <c r="H34" s="16"/>
      <c r="I34" s="16"/>
    </row>
    <row r="35" spans="1:9" ht="14.25" customHeight="1" x14ac:dyDescent="0.4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45">
      <c r="A36" s="16"/>
      <c r="B36" s="16"/>
      <c r="C36" s="16"/>
      <c r="D36" s="16"/>
      <c r="E36" s="16"/>
      <c r="F36" s="16"/>
      <c r="G36" s="16"/>
      <c r="H36" s="16"/>
      <c r="I36" s="16"/>
    </row>
    <row r="37" spans="1:9" ht="14.25" customHeight="1" x14ac:dyDescent="0.45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14.25" customHeight="1" x14ac:dyDescent="0.45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45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45">
      <c r="A40" s="16"/>
      <c r="B40" s="16"/>
      <c r="C40" s="16"/>
      <c r="D40" s="16"/>
      <c r="E40" s="16"/>
      <c r="F40" s="16"/>
      <c r="G40" s="16"/>
      <c r="H40" s="16"/>
      <c r="I40" s="16"/>
    </row>
    <row r="41" spans="1:9" x14ac:dyDescent="0.45">
      <c r="A41" s="16"/>
      <c r="B41" s="16"/>
      <c r="C41" s="16"/>
      <c r="D41" s="16"/>
      <c r="E41" s="16"/>
      <c r="F41" s="16"/>
      <c r="G41" s="16"/>
      <c r="H41" s="16"/>
      <c r="I41" s="16"/>
    </row>
    <row r="42" spans="1:9" x14ac:dyDescent="0.45">
      <c r="A42" s="16"/>
      <c r="B42" s="16"/>
      <c r="C42" s="16"/>
      <c r="D42" s="16"/>
      <c r="E42" s="16"/>
      <c r="F42" s="16"/>
      <c r="G42" s="16"/>
      <c r="H42" s="16"/>
      <c r="I42" s="16"/>
    </row>
    <row r="43" spans="1:9" x14ac:dyDescent="0.45">
      <c r="A43" s="16"/>
      <c r="B43" s="16"/>
      <c r="C43" s="16"/>
      <c r="D43" s="16"/>
      <c r="E43" s="16"/>
      <c r="F43" s="16"/>
      <c r="G43" s="16"/>
      <c r="H43" s="16"/>
      <c r="I43" s="16"/>
    </row>
    <row r="44" spans="1:9" x14ac:dyDescent="0.45">
      <c r="A44" s="16"/>
      <c r="B44" s="16"/>
      <c r="C44" s="16"/>
      <c r="D44" s="16"/>
      <c r="E44" s="16"/>
      <c r="F44" s="16"/>
      <c r="G44" s="16"/>
      <c r="H44" s="16"/>
      <c r="I44" s="16"/>
    </row>
    <row r="45" spans="1:9" x14ac:dyDescent="0.45">
      <c r="A45" s="16"/>
      <c r="B45" s="16"/>
      <c r="C45" s="16"/>
      <c r="D45" s="16"/>
      <c r="E45" s="16"/>
      <c r="F45" s="16"/>
      <c r="G45" s="16"/>
      <c r="H45" s="16"/>
      <c r="I45" s="16"/>
    </row>
    <row r="46" spans="1:9" x14ac:dyDescent="0.45">
      <c r="A46" s="16"/>
      <c r="B46" s="16"/>
      <c r="C46" s="16"/>
      <c r="D46" s="16"/>
      <c r="E46" s="16"/>
      <c r="F46" s="16"/>
      <c r="G46" s="16"/>
      <c r="H46" s="16"/>
      <c r="I46" s="16"/>
    </row>
    <row r="47" spans="1:9" x14ac:dyDescent="0.45">
      <c r="A47" s="16"/>
      <c r="B47" s="16"/>
      <c r="C47" s="16"/>
      <c r="D47" s="16"/>
      <c r="E47" s="16"/>
      <c r="F47" s="16"/>
      <c r="G47" s="16"/>
      <c r="H47" s="16"/>
      <c r="I47" s="16"/>
    </row>
    <row r="48" spans="1:9" x14ac:dyDescent="0.45">
      <c r="A48" s="16"/>
      <c r="B48" s="16"/>
      <c r="C48" s="16"/>
      <c r="D48" s="16"/>
      <c r="E48" s="16"/>
      <c r="F48" s="16"/>
      <c r="G48" s="16"/>
      <c r="H48" s="16"/>
      <c r="I48" s="16"/>
    </row>
    <row r="49" spans="1:9" x14ac:dyDescent="0.45">
      <c r="A49" s="16"/>
      <c r="B49" s="16"/>
      <c r="C49" s="16"/>
      <c r="D49" s="16"/>
      <c r="E49" s="16"/>
      <c r="F49" s="16"/>
      <c r="G49" s="16"/>
      <c r="H49" s="16"/>
      <c r="I4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topLeftCell="A9" zoomScaleNormal="100" workbookViewId="0"/>
  </sheetViews>
  <sheetFormatPr defaultColWidth="8.6640625" defaultRowHeight="14.25" x14ac:dyDescent="0.45"/>
  <cols>
    <col min="1" max="1" width="25" customWidth="1"/>
    <col min="2" max="2" width="12" customWidth="1"/>
    <col min="3" max="3" width="40" customWidth="1"/>
    <col min="4" max="4" width="30" customWidth="1"/>
    <col min="5" max="5" width="18" customWidth="1"/>
    <col min="6" max="6" width="30" customWidth="1"/>
    <col min="7" max="7" width="12" customWidth="1"/>
    <col min="8" max="8" width="8" customWidth="1"/>
    <col min="9" max="9" width="12" customWidth="1"/>
    <col min="10" max="10" width="15" customWidth="1"/>
    <col min="11" max="11" width="60" customWidth="1"/>
    <col min="12" max="12" width="12" customWidth="1"/>
  </cols>
  <sheetData>
    <row r="1" spans="1:12" ht="28.5" customHeight="1" x14ac:dyDescent="0.45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</row>
    <row r="2" spans="1:12" ht="18" customHeight="1" x14ac:dyDescent="0.45">
      <c r="A2" s="23" t="s">
        <v>55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12" ht="27.75" customHeight="1" x14ac:dyDescent="0.45">
      <c r="A3" s="4" t="s">
        <v>56</v>
      </c>
      <c r="B3" s="5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5" t="s">
        <v>62</v>
      </c>
      <c r="H3" s="5" t="s">
        <v>63</v>
      </c>
      <c r="I3" s="5" t="s">
        <v>64</v>
      </c>
      <c r="J3" s="4" t="s">
        <v>65</v>
      </c>
      <c r="K3" s="4" t="s">
        <v>66</v>
      </c>
      <c r="L3" s="5" t="s">
        <v>67</v>
      </c>
    </row>
    <row r="4" spans="1:12" ht="27.75" customHeight="1" x14ac:dyDescent="0.45">
      <c r="A4" s="4" t="s">
        <v>56</v>
      </c>
      <c r="B4" s="5" t="s">
        <v>57</v>
      </c>
      <c r="C4" s="4" t="s">
        <v>68</v>
      </c>
      <c r="D4" s="4" t="s">
        <v>69</v>
      </c>
      <c r="E4" s="4" t="s">
        <v>70</v>
      </c>
      <c r="F4" s="4" t="s">
        <v>71</v>
      </c>
      <c r="G4" s="5" t="s">
        <v>72</v>
      </c>
      <c r="H4" s="5" t="s">
        <v>63</v>
      </c>
      <c r="I4" s="5" t="s">
        <v>73</v>
      </c>
      <c r="J4" s="4" t="s">
        <v>74</v>
      </c>
      <c r="K4" s="4" t="s">
        <v>75</v>
      </c>
      <c r="L4" s="5" t="s">
        <v>76</v>
      </c>
    </row>
    <row r="5" spans="1:12" ht="27.75" customHeight="1" x14ac:dyDescent="0.45">
      <c r="A5" s="4" t="s">
        <v>56</v>
      </c>
      <c r="B5" s="5" t="s">
        <v>57</v>
      </c>
      <c r="C5" s="4" t="s">
        <v>77</v>
      </c>
      <c r="D5" s="4" t="s">
        <v>78</v>
      </c>
      <c r="E5" s="4" t="s">
        <v>79</v>
      </c>
      <c r="F5" s="4" t="s">
        <v>80</v>
      </c>
      <c r="G5" s="5" t="s">
        <v>72</v>
      </c>
      <c r="H5" s="5" t="s">
        <v>63</v>
      </c>
      <c r="I5" s="5" t="s">
        <v>81</v>
      </c>
      <c r="J5" s="4" t="s">
        <v>82</v>
      </c>
      <c r="K5" s="4" t="s">
        <v>83</v>
      </c>
      <c r="L5" s="5" t="s">
        <v>84</v>
      </c>
    </row>
    <row r="6" spans="1:12" ht="27.75" customHeight="1" x14ac:dyDescent="0.45">
      <c r="A6" s="4" t="s">
        <v>56</v>
      </c>
      <c r="B6" s="5" t="s">
        <v>57</v>
      </c>
      <c r="C6" s="4" t="s">
        <v>85</v>
      </c>
      <c r="D6" s="4" t="s">
        <v>86</v>
      </c>
      <c r="E6" s="4" t="s">
        <v>87</v>
      </c>
      <c r="F6" s="4" t="s">
        <v>88</v>
      </c>
      <c r="G6" s="5" t="s">
        <v>72</v>
      </c>
      <c r="H6" s="5" t="s">
        <v>63</v>
      </c>
      <c r="I6" s="5" t="s">
        <v>81</v>
      </c>
      <c r="J6" s="4" t="s">
        <v>89</v>
      </c>
      <c r="K6" s="4" t="s">
        <v>90</v>
      </c>
      <c r="L6" s="5" t="s">
        <v>91</v>
      </c>
    </row>
    <row r="7" spans="1:12" ht="27.75" customHeight="1" x14ac:dyDescent="0.45">
      <c r="A7" s="4" t="s">
        <v>56</v>
      </c>
      <c r="B7" s="5" t="s">
        <v>57</v>
      </c>
      <c r="C7" s="4" t="s">
        <v>92</v>
      </c>
      <c r="D7" s="4" t="s">
        <v>93</v>
      </c>
      <c r="E7" s="4" t="s">
        <v>94</v>
      </c>
      <c r="F7" s="4" t="s">
        <v>95</v>
      </c>
      <c r="G7" s="5" t="s">
        <v>72</v>
      </c>
      <c r="H7" s="5" t="s">
        <v>63</v>
      </c>
      <c r="I7" s="5" t="s">
        <v>96</v>
      </c>
      <c r="J7" s="4" t="s">
        <v>97</v>
      </c>
      <c r="K7" s="4" t="s">
        <v>98</v>
      </c>
      <c r="L7" s="5" t="s">
        <v>99</v>
      </c>
    </row>
    <row r="8" spans="1:12" ht="18" customHeight="1" x14ac:dyDescent="0.45">
      <c r="A8" s="9" t="s">
        <v>100</v>
      </c>
      <c r="B8" s="10"/>
      <c r="C8" s="9"/>
      <c r="D8" s="9"/>
      <c r="E8" s="9"/>
      <c r="F8" s="9"/>
      <c r="G8" s="10"/>
      <c r="H8" s="10"/>
      <c r="I8" s="10"/>
      <c r="J8" s="9"/>
      <c r="K8" s="9"/>
      <c r="L8" s="10"/>
    </row>
    <row r="9" spans="1:12" ht="18" customHeight="1" x14ac:dyDescent="0.45">
      <c r="A9" s="9" t="s">
        <v>100</v>
      </c>
      <c r="B9" s="10" t="s">
        <v>101</v>
      </c>
      <c r="C9" s="9" t="s">
        <v>102</v>
      </c>
      <c r="D9" s="9" t="s">
        <v>103</v>
      </c>
      <c r="E9" s="9" t="s">
        <v>104</v>
      </c>
      <c r="F9" s="9" t="s">
        <v>105</v>
      </c>
      <c r="G9" s="10" t="s">
        <v>72</v>
      </c>
      <c r="H9" s="10" t="s">
        <v>63</v>
      </c>
      <c r="I9" s="10" t="s">
        <v>106</v>
      </c>
      <c r="J9" s="9" t="s">
        <v>107</v>
      </c>
      <c r="K9" s="9" t="s">
        <v>108</v>
      </c>
      <c r="L9" s="10" t="s">
        <v>109</v>
      </c>
    </row>
    <row r="10" spans="1:12" ht="27.75" customHeight="1" x14ac:dyDescent="0.45">
      <c r="A10" s="6" t="s">
        <v>110</v>
      </c>
      <c r="B10" s="7" t="s">
        <v>101</v>
      </c>
      <c r="C10" s="6" t="s">
        <v>102</v>
      </c>
      <c r="D10" s="6" t="s">
        <v>103</v>
      </c>
      <c r="E10" s="6" t="s">
        <v>104</v>
      </c>
      <c r="F10" s="6" t="s">
        <v>105</v>
      </c>
      <c r="G10" s="7" t="s">
        <v>72</v>
      </c>
      <c r="H10" s="7" t="s">
        <v>63</v>
      </c>
      <c r="I10" s="7" t="s">
        <v>106</v>
      </c>
      <c r="J10" s="6" t="s">
        <v>107</v>
      </c>
      <c r="K10" s="6" t="s">
        <v>108</v>
      </c>
      <c r="L10" s="7" t="s">
        <v>109</v>
      </c>
    </row>
    <row r="11" spans="1:12" ht="27.75" customHeight="1" x14ac:dyDescent="0.45">
      <c r="A11" s="6" t="s">
        <v>110</v>
      </c>
      <c r="B11" s="7" t="s">
        <v>101</v>
      </c>
      <c r="C11" s="6" t="s">
        <v>111</v>
      </c>
      <c r="D11" s="6" t="s">
        <v>112</v>
      </c>
      <c r="E11" s="6" t="s">
        <v>113</v>
      </c>
      <c r="F11" s="6" t="s">
        <v>114</v>
      </c>
      <c r="G11" s="7" t="s">
        <v>72</v>
      </c>
      <c r="H11" s="7" t="s">
        <v>63</v>
      </c>
      <c r="I11" s="7" t="s">
        <v>106</v>
      </c>
      <c r="J11" s="6" t="s">
        <v>115</v>
      </c>
      <c r="K11" s="6" t="s">
        <v>116</v>
      </c>
      <c r="L11" s="7" t="s">
        <v>117</v>
      </c>
    </row>
    <row r="12" spans="1:12" ht="27.75" customHeight="1" x14ac:dyDescent="0.45">
      <c r="A12" s="6" t="s">
        <v>110</v>
      </c>
      <c r="B12" s="7" t="s">
        <v>101</v>
      </c>
      <c r="C12" s="6" t="s">
        <v>118</v>
      </c>
      <c r="D12" s="6" t="s">
        <v>119</v>
      </c>
      <c r="E12" s="6" t="s">
        <v>120</v>
      </c>
      <c r="F12" s="6" t="s">
        <v>121</v>
      </c>
      <c r="G12" s="7" t="s">
        <v>72</v>
      </c>
      <c r="H12" s="7" t="s">
        <v>63</v>
      </c>
      <c r="I12" s="7" t="s">
        <v>106</v>
      </c>
      <c r="J12" s="6" t="s">
        <v>122</v>
      </c>
      <c r="K12" s="6" t="s">
        <v>123</v>
      </c>
      <c r="L12" s="7" t="s">
        <v>124</v>
      </c>
    </row>
    <row r="13" spans="1:12" ht="27.75" customHeight="1" x14ac:dyDescent="0.45">
      <c r="A13" s="6" t="s">
        <v>110</v>
      </c>
      <c r="B13" s="7" t="s">
        <v>101</v>
      </c>
      <c r="C13" s="6" t="s">
        <v>125</v>
      </c>
      <c r="D13" s="6" t="s">
        <v>126</v>
      </c>
      <c r="E13" s="6" t="s">
        <v>127</v>
      </c>
      <c r="F13" s="6" t="s">
        <v>128</v>
      </c>
      <c r="G13" s="7" t="s">
        <v>72</v>
      </c>
      <c r="H13" s="7" t="s">
        <v>63</v>
      </c>
      <c r="I13" s="7" t="s">
        <v>129</v>
      </c>
      <c r="J13" s="6" t="s">
        <v>115</v>
      </c>
      <c r="K13" s="6" t="s">
        <v>130</v>
      </c>
      <c r="L13" s="7" t="s">
        <v>131</v>
      </c>
    </row>
    <row r="14" spans="1:12" ht="27.75" customHeight="1" x14ac:dyDescent="0.45">
      <c r="A14" s="6" t="s">
        <v>110</v>
      </c>
      <c r="B14" s="7" t="s">
        <v>101</v>
      </c>
      <c r="C14" s="6" t="s">
        <v>132</v>
      </c>
      <c r="D14" s="6" t="s">
        <v>133</v>
      </c>
      <c r="E14" s="6" t="s">
        <v>134</v>
      </c>
      <c r="F14" s="6" t="s">
        <v>135</v>
      </c>
      <c r="G14" s="7" t="s">
        <v>72</v>
      </c>
      <c r="H14" s="7" t="s">
        <v>63</v>
      </c>
      <c r="I14" s="7" t="s">
        <v>129</v>
      </c>
      <c r="J14" s="6" t="s">
        <v>115</v>
      </c>
      <c r="K14" s="6" t="s">
        <v>136</v>
      </c>
      <c r="L14" s="7" t="s">
        <v>137</v>
      </c>
    </row>
    <row r="15" spans="1:12" ht="27.75" customHeight="1" x14ac:dyDescent="0.45">
      <c r="A15" s="6" t="s">
        <v>110</v>
      </c>
      <c r="B15" s="7" t="s">
        <v>57</v>
      </c>
      <c r="C15" s="6" t="s">
        <v>138</v>
      </c>
      <c r="D15" s="6" t="s">
        <v>139</v>
      </c>
      <c r="E15" s="6" t="s">
        <v>140</v>
      </c>
      <c r="F15" s="6" t="s">
        <v>141</v>
      </c>
      <c r="G15" s="7" t="s">
        <v>72</v>
      </c>
      <c r="H15" s="7" t="s">
        <v>63</v>
      </c>
      <c r="I15" s="7" t="s">
        <v>64</v>
      </c>
      <c r="J15" s="6" t="s">
        <v>65</v>
      </c>
      <c r="K15" s="6" t="s">
        <v>142</v>
      </c>
      <c r="L15" s="7" t="s">
        <v>143</v>
      </c>
    </row>
    <row r="16" spans="1:12" ht="27.75" customHeight="1" x14ac:dyDescent="0.45">
      <c r="A16" s="6" t="s">
        <v>110</v>
      </c>
      <c r="B16" s="7" t="s">
        <v>101</v>
      </c>
      <c r="C16" s="6" t="s">
        <v>144</v>
      </c>
      <c r="D16" s="6" t="s">
        <v>145</v>
      </c>
      <c r="E16" s="6" t="s">
        <v>146</v>
      </c>
      <c r="F16" s="6" t="s">
        <v>147</v>
      </c>
      <c r="G16" s="7" t="s">
        <v>72</v>
      </c>
      <c r="H16" s="7" t="s">
        <v>63</v>
      </c>
      <c r="I16" s="7" t="s">
        <v>148</v>
      </c>
      <c r="J16" s="6" t="s">
        <v>149</v>
      </c>
      <c r="K16" s="6" t="s">
        <v>150</v>
      </c>
      <c r="L16" s="7" t="s">
        <v>151</v>
      </c>
    </row>
    <row r="17" spans="1:12" ht="27.75" customHeight="1" x14ac:dyDescent="0.45">
      <c r="A17" s="6" t="s">
        <v>110</v>
      </c>
      <c r="B17" s="7" t="s">
        <v>101</v>
      </c>
      <c r="C17" s="6" t="s">
        <v>152</v>
      </c>
      <c r="D17" s="6" t="s">
        <v>153</v>
      </c>
      <c r="E17" s="6" t="s">
        <v>154</v>
      </c>
      <c r="F17" s="6" t="s">
        <v>155</v>
      </c>
      <c r="G17" s="7" t="s">
        <v>72</v>
      </c>
      <c r="H17" s="7" t="s">
        <v>63</v>
      </c>
      <c r="I17" s="7" t="s">
        <v>129</v>
      </c>
      <c r="J17" s="6" t="s">
        <v>115</v>
      </c>
      <c r="K17" s="6" t="s">
        <v>156</v>
      </c>
      <c r="L17" s="7" t="s">
        <v>157</v>
      </c>
    </row>
    <row r="18" spans="1:12" ht="27.75" customHeight="1" x14ac:dyDescent="0.45">
      <c r="A18" s="6" t="s">
        <v>110</v>
      </c>
      <c r="B18" s="7" t="s">
        <v>101</v>
      </c>
      <c r="C18" s="6" t="s">
        <v>158</v>
      </c>
      <c r="D18" s="6" t="s">
        <v>159</v>
      </c>
      <c r="E18" s="6" t="s">
        <v>160</v>
      </c>
      <c r="F18" s="6" t="s">
        <v>161</v>
      </c>
      <c r="G18" s="7" t="s">
        <v>72</v>
      </c>
      <c r="H18" s="7" t="s">
        <v>63</v>
      </c>
      <c r="I18" s="7" t="s">
        <v>129</v>
      </c>
      <c r="J18" s="6" t="s">
        <v>115</v>
      </c>
      <c r="K18" s="6" t="s">
        <v>162</v>
      </c>
      <c r="L18" s="7" t="s">
        <v>163</v>
      </c>
    </row>
    <row r="19" spans="1:12" ht="27.75" customHeight="1" x14ac:dyDescent="0.45">
      <c r="A19" s="6" t="s">
        <v>110</v>
      </c>
      <c r="B19" s="7" t="s">
        <v>101</v>
      </c>
      <c r="C19" s="6" t="s">
        <v>164</v>
      </c>
      <c r="D19" s="6" t="s">
        <v>165</v>
      </c>
      <c r="E19" s="6" t="s">
        <v>166</v>
      </c>
      <c r="F19" s="6" t="s">
        <v>167</v>
      </c>
      <c r="G19" s="7" t="s">
        <v>72</v>
      </c>
      <c r="H19" s="7" t="s">
        <v>63</v>
      </c>
      <c r="I19" s="7" t="s">
        <v>129</v>
      </c>
      <c r="J19" s="6" t="s">
        <v>115</v>
      </c>
      <c r="K19" s="6" t="s">
        <v>168</v>
      </c>
      <c r="L19" s="7" t="s">
        <v>169</v>
      </c>
    </row>
    <row r="20" spans="1:12" ht="27.75" customHeight="1" x14ac:dyDescent="0.45">
      <c r="A20" s="6" t="s">
        <v>110</v>
      </c>
      <c r="B20" s="7" t="s">
        <v>101</v>
      </c>
      <c r="C20" s="6" t="s">
        <v>170</v>
      </c>
      <c r="D20" s="6" t="s">
        <v>171</v>
      </c>
      <c r="E20" s="6" t="s">
        <v>172</v>
      </c>
      <c r="F20" s="6" t="s">
        <v>173</v>
      </c>
      <c r="G20" s="7" t="s">
        <v>72</v>
      </c>
      <c r="H20" s="7" t="s">
        <v>63</v>
      </c>
      <c r="I20" s="7" t="s">
        <v>129</v>
      </c>
      <c r="J20" s="6" t="s">
        <v>115</v>
      </c>
      <c r="K20" s="6" t="s">
        <v>174</v>
      </c>
      <c r="L20" s="7" t="s">
        <v>175</v>
      </c>
    </row>
    <row r="21" spans="1:12" ht="27.75" customHeight="1" x14ac:dyDescent="0.45">
      <c r="A21" s="6" t="s">
        <v>110</v>
      </c>
      <c r="B21" s="7" t="s">
        <v>57</v>
      </c>
      <c r="C21" s="6" t="s">
        <v>176</v>
      </c>
      <c r="D21" s="6" t="s">
        <v>177</v>
      </c>
      <c r="E21" s="6" t="s">
        <v>178</v>
      </c>
      <c r="F21" s="6" t="s">
        <v>179</v>
      </c>
      <c r="G21" s="7" t="s">
        <v>72</v>
      </c>
      <c r="H21" s="7" t="s">
        <v>63</v>
      </c>
      <c r="I21" s="7" t="s">
        <v>148</v>
      </c>
      <c r="J21" s="6" t="s">
        <v>149</v>
      </c>
      <c r="K21" s="6" t="s">
        <v>180</v>
      </c>
      <c r="L21" s="7" t="s">
        <v>181</v>
      </c>
    </row>
    <row r="22" spans="1:12" ht="27.75" customHeight="1" x14ac:dyDescent="0.45"/>
    <row r="23" spans="1:12" ht="27.75" customHeight="1" x14ac:dyDescent="0.45">
      <c r="A23" s="6" t="s">
        <v>110</v>
      </c>
      <c r="B23" s="7" t="s">
        <v>101</v>
      </c>
      <c r="C23" s="6" t="s">
        <v>182</v>
      </c>
      <c r="D23" s="6" t="s">
        <v>183</v>
      </c>
      <c r="E23" s="6" t="s">
        <v>184</v>
      </c>
      <c r="F23" s="6" t="s">
        <v>185</v>
      </c>
      <c r="G23" s="7" t="s">
        <v>72</v>
      </c>
      <c r="H23" s="7" t="s">
        <v>63</v>
      </c>
      <c r="I23" s="7" t="s">
        <v>186</v>
      </c>
      <c r="J23" s="6" t="s">
        <v>187</v>
      </c>
      <c r="K23" s="6" t="s">
        <v>188</v>
      </c>
      <c r="L23" s="7" t="s">
        <v>189</v>
      </c>
    </row>
    <row r="24" spans="1:12" ht="27.75" customHeight="1" x14ac:dyDescent="0.45">
      <c r="A24" s="6" t="s">
        <v>110</v>
      </c>
      <c r="B24" s="7" t="s">
        <v>101</v>
      </c>
      <c r="C24" s="6" t="s">
        <v>190</v>
      </c>
      <c r="D24" s="6" t="s">
        <v>191</v>
      </c>
      <c r="E24" s="6" t="s">
        <v>192</v>
      </c>
      <c r="F24" s="6" t="s">
        <v>193</v>
      </c>
      <c r="G24" s="7" t="s">
        <v>72</v>
      </c>
      <c r="H24" s="7" t="s">
        <v>63</v>
      </c>
      <c r="I24" s="7" t="s">
        <v>194</v>
      </c>
      <c r="J24" s="6" t="s">
        <v>187</v>
      </c>
      <c r="K24" s="6" t="s">
        <v>195</v>
      </c>
      <c r="L24" s="7" t="s">
        <v>196</v>
      </c>
    </row>
  </sheetData>
  <mergeCells count="1"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zoomScaleNormal="100" workbookViewId="0"/>
  </sheetViews>
  <sheetFormatPr defaultColWidth="8.6640625" defaultRowHeight="14.25" x14ac:dyDescent="0.45"/>
  <cols>
    <col min="1" max="1" width="25" customWidth="1"/>
    <col min="2" max="2" width="35" customWidth="1"/>
    <col min="3" max="3" width="40" customWidth="1"/>
    <col min="4" max="4" width="25" customWidth="1"/>
    <col min="5" max="5" width="12" customWidth="1"/>
    <col min="6" max="6" width="10" customWidth="1"/>
    <col min="7" max="7" width="30" customWidth="1"/>
    <col min="8" max="9" width="15" customWidth="1"/>
    <col min="10" max="10" width="18" customWidth="1"/>
    <col min="11" max="11" width="35" customWidth="1"/>
    <col min="12" max="12" width="50" customWidth="1"/>
    <col min="13" max="13" width="60" customWidth="1"/>
  </cols>
  <sheetData>
    <row r="1" spans="1:9" ht="28.5" customHeight="1" x14ac:dyDescent="0.45">
      <c r="A1" s="8" t="s">
        <v>197</v>
      </c>
      <c r="B1" s="8" t="s">
        <v>198</v>
      </c>
      <c r="C1" s="8" t="s">
        <v>45</v>
      </c>
      <c r="D1" s="8" t="s">
        <v>199</v>
      </c>
      <c r="E1" s="8" t="s">
        <v>200</v>
      </c>
      <c r="F1" s="8" t="s">
        <v>54</v>
      </c>
      <c r="G1" s="8" t="s">
        <v>201</v>
      </c>
      <c r="H1" s="8" t="s">
        <v>202</v>
      </c>
      <c r="I1" s="8" t="s">
        <v>203</v>
      </c>
    </row>
    <row r="2" spans="1:9" ht="27.75" customHeight="1" x14ac:dyDescent="0.45">
      <c r="A2" s="4" t="s">
        <v>204</v>
      </c>
      <c r="B2" s="4" t="s">
        <v>205</v>
      </c>
      <c r="C2" s="4" t="s">
        <v>58</v>
      </c>
      <c r="D2" s="4" t="s">
        <v>56</v>
      </c>
      <c r="E2" s="5" t="s">
        <v>57</v>
      </c>
      <c r="F2" s="5" t="s">
        <v>206</v>
      </c>
      <c r="G2" s="4" t="s">
        <v>207</v>
      </c>
      <c r="H2" s="5" t="s">
        <v>208</v>
      </c>
      <c r="I2" s="4" t="s">
        <v>60</v>
      </c>
    </row>
    <row r="3" spans="1:9" ht="27.75" customHeight="1" x14ac:dyDescent="0.45">
      <c r="A3" s="4" t="s">
        <v>209</v>
      </c>
      <c r="B3" s="4" t="s">
        <v>210</v>
      </c>
      <c r="C3" s="4" t="s">
        <v>68</v>
      </c>
      <c r="D3" s="4" t="s">
        <v>56</v>
      </c>
      <c r="E3" s="5" t="s">
        <v>57</v>
      </c>
      <c r="F3" s="5" t="s">
        <v>211</v>
      </c>
      <c r="G3" s="4" t="s">
        <v>212</v>
      </c>
      <c r="H3" s="5" t="s">
        <v>208</v>
      </c>
      <c r="I3" s="4" t="s">
        <v>70</v>
      </c>
    </row>
    <row r="4" spans="1:9" ht="27.75" customHeight="1" x14ac:dyDescent="0.45">
      <c r="A4" s="4" t="s">
        <v>213</v>
      </c>
      <c r="B4" s="4" t="s">
        <v>214</v>
      </c>
      <c r="C4" s="4" t="s">
        <v>77</v>
      </c>
      <c r="D4" s="4" t="s">
        <v>56</v>
      </c>
      <c r="E4" s="5" t="s">
        <v>57</v>
      </c>
      <c r="F4" s="5" t="s">
        <v>215</v>
      </c>
      <c r="G4" s="4" t="s">
        <v>216</v>
      </c>
      <c r="H4" s="5" t="s">
        <v>217</v>
      </c>
      <c r="I4" s="4" t="s">
        <v>79</v>
      </c>
    </row>
    <row r="5" spans="1:9" ht="27.75" customHeight="1" x14ac:dyDescent="0.45">
      <c r="A5" s="4" t="s">
        <v>218</v>
      </c>
      <c r="B5" s="4" t="s">
        <v>219</v>
      </c>
      <c r="C5" s="4" t="s">
        <v>85</v>
      </c>
      <c r="D5" s="4" t="s">
        <v>56</v>
      </c>
      <c r="E5" s="5" t="s">
        <v>57</v>
      </c>
      <c r="F5" s="5" t="s">
        <v>91</v>
      </c>
      <c r="G5" s="4" t="s">
        <v>220</v>
      </c>
      <c r="H5" s="5" t="s">
        <v>208</v>
      </c>
      <c r="I5" s="4" t="s">
        <v>87</v>
      </c>
    </row>
    <row r="6" spans="1:9" ht="27.75" customHeight="1" x14ac:dyDescent="0.45">
      <c r="A6" s="4" t="s">
        <v>221</v>
      </c>
      <c r="B6" s="4" t="s">
        <v>222</v>
      </c>
      <c r="C6" s="4" t="s">
        <v>92</v>
      </c>
      <c r="D6" s="4" t="s">
        <v>56</v>
      </c>
      <c r="E6" s="5" t="s">
        <v>57</v>
      </c>
      <c r="F6" s="5" t="s">
        <v>223</v>
      </c>
      <c r="G6" s="4" t="s">
        <v>224</v>
      </c>
      <c r="H6" s="5" t="s">
        <v>217</v>
      </c>
      <c r="I6" s="4" t="s">
        <v>225</v>
      </c>
    </row>
    <row r="7" spans="1:9" ht="27.75" customHeight="1" x14ac:dyDescent="0.45">
      <c r="A7" s="4" t="s">
        <v>226</v>
      </c>
      <c r="B7" s="4" t="s">
        <v>227</v>
      </c>
      <c r="C7" s="4" t="s">
        <v>92</v>
      </c>
      <c r="D7" s="4" t="s">
        <v>56</v>
      </c>
      <c r="E7" s="5" t="s">
        <v>57</v>
      </c>
      <c r="F7" s="5" t="s">
        <v>228</v>
      </c>
      <c r="G7" s="4" t="s">
        <v>229</v>
      </c>
      <c r="H7" s="5" t="s">
        <v>208</v>
      </c>
      <c r="I7" s="4" t="s">
        <v>94</v>
      </c>
    </row>
    <row r="8" spans="1:9" ht="27.75" customHeight="1" x14ac:dyDescent="0.45">
      <c r="A8" s="4" t="s">
        <v>230</v>
      </c>
      <c r="B8" s="4" t="s">
        <v>222</v>
      </c>
      <c r="C8" s="4" t="s">
        <v>92</v>
      </c>
      <c r="D8" s="4" t="s">
        <v>56</v>
      </c>
      <c r="E8" s="5" t="s">
        <v>57</v>
      </c>
      <c r="F8" s="5" t="s">
        <v>231</v>
      </c>
      <c r="G8" s="4" t="s">
        <v>232</v>
      </c>
      <c r="H8" s="5" t="s">
        <v>208</v>
      </c>
      <c r="I8" s="4" t="s">
        <v>94</v>
      </c>
    </row>
    <row r="9" spans="1:9" ht="27.75" customHeight="1" x14ac:dyDescent="0.45">
      <c r="A9" s="4" t="s">
        <v>233</v>
      </c>
      <c r="B9" s="4" t="s">
        <v>222</v>
      </c>
      <c r="C9" s="4" t="s">
        <v>92</v>
      </c>
      <c r="D9" s="4" t="s">
        <v>56</v>
      </c>
      <c r="E9" s="5" t="s">
        <v>57</v>
      </c>
      <c r="F9" s="5" t="s">
        <v>234</v>
      </c>
      <c r="G9" s="4" t="s">
        <v>235</v>
      </c>
      <c r="H9" s="5" t="s">
        <v>208</v>
      </c>
      <c r="I9" s="4" t="s">
        <v>94</v>
      </c>
    </row>
    <row r="10" spans="1:9" ht="27.75" customHeight="1" x14ac:dyDescent="0.45">
      <c r="A10" s="4" t="s">
        <v>236</v>
      </c>
      <c r="B10" s="4" t="s">
        <v>222</v>
      </c>
      <c r="C10" s="4" t="s">
        <v>92</v>
      </c>
      <c r="D10" s="4" t="s">
        <v>56</v>
      </c>
      <c r="E10" s="5" t="s">
        <v>57</v>
      </c>
      <c r="F10" s="5" t="s">
        <v>237</v>
      </c>
      <c r="G10" s="4" t="s">
        <v>238</v>
      </c>
      <c r="H10" s="5" t="s">
        <v>208</v>
      </c>
      <c r="I10" s="4" t="s">
        <v>94</v>
      </c>
    </row>
    <row r="11" spans="1:9" ht="27.75" customHeight="1" x14ac:dyDescent="0.45">
      <c r="A11" s="4" t="s">
        <v>239</v>
      </c>
      <c r="B11" s="4" t="s">
        <v>222</v>
      </c>
      <c r="C11" s="4" t="s">
        <v>92</v>
      </c>
      <c r="D11" s="4" t="s">
        <v>56</v>
      </c>
      <c r="E11" s="5" t="s">
        <v>57</v>
      </c>
      <c r="F11" s="5" t="s">
        <v>240</v>
      </c>
      <c r="G11" s="4" t="s">
        <v>241</v>
      </c>
      <c r="H11" s="5" t="s">
        <v>208</v>
      </c>
      <c r="I11" s="4" t="s">
        <v>94</v>
      </c>
    </row>
    <row r="12" spans="1:9" ht="27.75" customHeight="1" x14ac:dyDescent="0.45">
      <c r="A12" s="6" t="s">
        <v>242</v>
      </c>
      <c r="B12" s="6" t="s">
        <v>243</v>
      </c>
      <c r="C12" s="6" t="s">
        <v>102</v>
      </c>
      <c r="D12" s="6" t="s">
        <v>110</v>
      </c>
      <c r="E12" s="7" t="s">
        <v>101</v>
      </c>
      <c r="F12" s="7" t="s">
        <v>109</v>
      </c>
      <c r="G12" s="6" t="s">
        <v>244</v>
      </c>
      <c r="H12" s="7" t="s">
        <v>208</v>
      </c>
      <c r="I12" s="6" t="s">
        <v>104</v>
      </c>
    </row>
    <row r="13" spans="1:9" ht="27.75" customHeight="1" x14ac:dyDescent="0.45">
      <c r="A13" s="6" t="s">
        <v>242</v>
      </c>
      <c r="B13" s="6" t="s">
        <v>245</v>
      </c>
      <c r="C13" s="6" t="s">
        <v>158</v>
      </c>
      <c r="D13" s="6" t="s">
        <v>110</v>
      </c>
      <c r="E13" s="7" t="s">
        <v>101</v>
      </c>
      <c r="F13" s="7" t="s">
        <v>246</v>
      </c>
      <c r="G13" s="6" t="s">
        <v>247</v>
      </c>
      <c r="H13" s="7" t="s">
        <v>208</v>
      </c>
      <c r="I13" s="6" t="s">
        <v>160</v>
      </c>
    </row>
    <row r="14" spans="1:9" ht="27.75" customHeight="1" x14ac:dyDescent="0.45">
      <c r="A14" s="6" t="s">
        <v>248</v>
      </c>
      <c r="B14" s="6" t="s">
        <v>249</v>
      </c>
      <c r="C14" s="6" t="s">
        <v>118</v>
      </c>
      <c r="D14" s="6" t="s">
        <v>110</v>
      </c>
      <c r="E14" s="7" t="s">
        <v>101</v>
      </c>
      <c r="F14" s="7" t="s">
        <v>250</v>
      </c>
      <c r="G14" s="6" t="s">
        <v>251</v>
      </c>
      <c r="H14" s="7" t="s">
        <v>208</v>
      </c>
      <c r="I14" s="6" t="s">
        <v>252</v>
      </c>
    </row>
    <row r="15" spans="1:9" ht="27.75" customHeight="1" x14ac:dyDescent="0.45">
      <c r="A15" s="6" t="s">
        <v>253</v>
      </c>
      <c r="B15" s="6" t="s">
        <v>254</v>
      </c>
      <c r="C15" s="6" t="s">
        <v>144</v>
      </c>
      <c r="D15" s="6" t="s">
        <v>110</v>
      </c>
      <c r="E15" s="7" t="s">
        <v>101</v>
      </c>
      <c r="F15" s="7" t="s">
        <v>255</v>
      </c>
      <c r="G15" s="6" t="s">
        <v>256</v>
      </c>
      <c r="H15" s="7" t="s">
        <v>208</v>
      </c>
      <c r="I15" s="6" t="s">
        <v>146</v>
      </c>
    </row>
    <row r="16" spans="1:9" ht="27.75" customHeight="1" x14ac:dyDescent="0.45">
      <c r="A16" s="6" t="s">
        <v>257</v>
      </c>
      <c r="B16" s="6" t="s">
        <v>222</v>
      </c>
      <c r="C16" s="6" t="s">
        <v>152</v>
      </c>
      <c r="D16" s="6" t="s">
        <v>110</v>
      </c>
      <c r="E16" s="7" t="s">
        <v>101</v>
      </c>
      <c r="F16" s="7" t="s">
        <v>258</v>
      </c>
      <c r="G16" s="6" t="s">
        <v>259</v>
      </c>
      <c r="H16" s="7" t="s">
        <v>217</v>
      </c>
      <c r="I16" s="6" t="s">
        <v>154</v>
      </c>
    </row>
    <row r="17" spans="1:9" ht="27.75" customHeight="1" x14ac:dyDescent="0.45">
      <c r="A17" s="6" t="s">
        <v>260</v>
      </c>
      <c r="B17" s="6" t="s">
        <v>222</v>
      </c>
      <c r="C17" s="6" t="s">
        <v>125</v>
      </c>
      <c r="D17" s="6" t="s">
        <v>110</v>
      </c>
      <c r="E17" s="7" t="s">
        <v>101</v>
      </c>
      <c r="F17" s="7" t="s">
        <v>261</v>
      </c>
      <c r="G17" s="6" t="s">
        <v>262</v>
      </c>
      <c r="H17" s="7" t="s">
        <v>208</v>
      </c>
      <c r="I17" s="6" t="s">
        <v>127</v>
      </c>
    </row>
    <row r="18" spans="1:9" ht="27.75" customHeight="1" x14ac:dyDescent="0.45">
      <c r="A18" s="6" t="s">
        <v>263</v>
      </c>
      <c r="B18" s="6" t="s">
        <v>222</v>
      </c>
      <c r="C18" s="6" t="s">
        <v>132</v>
      </c>
      <c r="D18" s="6" t="s">
        <v>110</v>
      </c>
      <c r="E18" s="7" t="s">
        <v>101</v>
      </c>
      <c r="F18" s="7" t="s">
        <v>264</v>
      </c>
      <c r="G18" s="6" t="s">
        <v>265</v>
      </c>
      <c r="H18" s="7" t="s">
        <v>208</v>
      </c>
      <c r="I18" s="6" t="s">
        <v>134</v>
      </c>
    </row>
    <row r="19" spans="1:9" ht="27.75" customHeight="1" x14ac:dyDescent="0.45">
      <c r="A19" s="11" t="s">
        <v>266</v>
      </c>
      <c r="B19" s="11" t="s">
        <v>267</v>
      </c>
      <c r="C19" s="11" t="s">
        <v>164</v>
      </c>
      <c r="D19" s="11" t="s">
        <v>110</v>
      </c>
      <c r="E19" s="12" t="s">
        <v>101</v>
      </c>
      <c r="F19" s="12" t="s">
        <v>268</v>
      </c>
      <c r="G19" s="11" t="s">
        <v>269</v>
      </c>
      <c r="H19" s="12" t="s">
        <v>217</v>
      </c>
      <c r="I19" s="11" t="s">
        <v>166</v>
      </c>
    </row>
    <row r="20" spans="1:9" ht="27.75" customHeight="1" x14ac:dyDescent="0.45">
      <c r="A20" s="11" t="s">
        <v>270</v>
      </c>
      <c r="B20" s="11" t="s">
        <v>271</v>
      </c>
      <c r="C20" s="11" t="s">
        <v>111</v>
      </c>
      <c r="D20" s="11" t="s">
        <v>110</v>
      </c>
      <c r="E20" s="12" t="s">
        <v>101</v>
      </c>
      <c r="F20" s="12" t="s">
        <v>272</v>
      </c>
      <c r="G20" s="11" t="s">
        <v>273</v>
      </c>
      <c r="H20" s="12" t="s">
        <v>208</v>
      </c>
      <c r="I20" s="11" t="s">
        <v>113</v>
      </c>
    </row>
    <row r="21" spans="1:9" ht="27.75" customHeight="1" x14ac:dyDescent="0.45">
      <c r="A21" s="11" t="s">
        <v>242</v>
      </c>
      <c r="B21" s="11" t="s">
        <v>274</v>
      </c>
      <c r="C21" s="11" t="s">
        <v>176</v>
      </c>
      <c r="D21" s="11" t="s">
        <v>110</v>
      </c>
      <c r="E21" s="12" t="s">
        <v>57</v>
      </c>
      <c r="F21" s="12" t="s">
        <v>181</v>
      </c>
      <c r="G21" s="11" t="s">
        <v>275</v>
      </c>
      <c r="H21" s="12" t="s">
        <v>208</v>
      </c>
      <c r="I21" s="11" t="s">
        <v>178</v>
      </c>
    </row>
    <row r="22" spans="1:9" ht="27.75" customHeight="1" x14ac:dyDescent="0.45">
      <c r="A22" s="11" t="s">
        <v>242</v>
      </c>
      <c r="B22" s="11" t="s">
        <v>245</v>
      </c>
      <c r="C22" s="11" t="s">
        <v>170</v>
      </c>
      <c r="D22" s="11" t="s">
        <v>110</v>
      </c>
      <c r="E22" s="12" t="s">
        <v>101</v>
      </c>
      <c r="F22" s="12" t="s">
        <v>175</v>
      </c>
      <c r="G22" s="11" t="s">
        <v>276</v>
      </c>
      <c r="H22" s="12" t="s">
        <v>208</v>
      </c>
      <c r="I22" s="11" t="s">
        <v>172</v>
      </c>
    </row>
    <row r="23" spans="1:9" ht="27.75" customHeight="1" x14ac:dyDescent="0.45">
      <c r="A23" s="11" t="s">
        <v>277</v>
      </c>
      <c r="B23" s="11" t="s">
        <v>278</v>
      </c>
      <c r="C23" s="11" t="s">
        <v>152</v>
      </c>
      <c r="D23" s="11" t="s">
        <v>110</v>
      </c>
      <c r="E23" s="12" t="s">
        <v>101</v>
      </c>
      <c r="F23" s="12" t="s">
        <v>279</v>
      </c>
      <c r="G23" s="11" t="s">
        <v>280</v>
      </c>
      <c r="H23" s="12" t="s">
        <v>281</v>
      </c>
      <c r="I23" s="11" t="s">
        <v>282</v>
      </c>
    </row>
    <row r="24" spans="1:9" ht="27.75" customHeight="1" x14ac:dyDescent="0.45">
      <c r="A24" s="11" t="s">
        <v>283</v>
      </c>
      <c r="B24" s="11" t="s">
        <v>284</v>
      </c>
      <c r="C24" s="11" t="s">
        <v>138</v>
      </c>
      <c r="D24" s="11" t="s">
        <v>110</v>
      </c>
      <c r="E24" s="12" t="s">
        <v>57</v>
      </c>
      <c r="F24" s="12" t="s">
        <v>143</v>
      </c>
      <c r="G24" s="11" t="s">
        <v>285</v>
      </c>
      <c r="H24" s="12" t="s">
        <v>208</v>
      </c>
      <c r="I24" s="11" t="s">
        <v>140</v>
      </c>
    </row>
    <row r="25" spans="1:9" ht="27.75" customHeight="1" x14ac:dyDescent="0.45">
      <c r="A25" s="11" t="s">
        <v>286</v>
      </c>
      <c r="B25" s="11" t="s">
        <v>287</v>
      </c>
      <c r="C25" s="11" t="s">
        <v>182</v>
      </c>
      <c r="D25" s="11" t="s">
        <v>110</v>
      </c>
      <c r="E25" s="12" t="s">
        <v>101</v>
      </c>
      <c r="F25" s="12" t="s">
        <v>288</v>
      </c>
      <c r="G25" s="11" t="s">
        <v>289</v>
      </c>
      <c r="H25" s="12" t="s">
        <v>217</v>
      </c>
      <c r="I25" s="11" t="s">
        <v>290</v>
      </c>
    </row>
    <row r="26" spans="1:9" ht="27.75" customHeight="1" x14ac:dyDescent="0.45">
      <c r="A26" s="11" t="s">
        <v>291</v>
      </c>
      <c r="B26" s="11" t="s">
        <v>287</v>
      </c>
      <c r="C26" s="11" t="s">
        <v>182</v>
      </c>
      <c r="D26" s="11" t="s">
        <v>110</v>
      </c>
      <c r="E26" s="12" t="s">
        <v>101</v>
      </c>
      <c r="F26" s="12" t="s">
        <v>292</v>
      </c>
      <c r="G26" s="11" t="s">
        <v>293</v>
      </c>
      <c r="H26" s="12" t="s">
        <v>217</v>
      </c>
      <c r="I26" s="11" t="s">
        <v>294</v>
      </c>
    </row>
    <row r="27" spans="1:9" ht="27.75" customHeight="1" x14ac:dyDescent="0.45">
      <c r="A27" s="11" t="s">
        <v>295</v>
      </c>
      <c r="B27" s="11" t="s">
        <v>296</v>
      </c>
      <c r="C27" s="11" t="s">
        <v>182</v>
      </c>
      <c r="D27" s="11" t="s">
        <v>110</v>
      </c>
      <c r="E27" s="12" t="s">
        <v>101</v>
      </c>
      <c r="F27" s="12" t="s">
        <v>297</v>
      </c>
      <c r="G27" s="11" t="s">
        <v>298</v>
      </c>
      <c r="H27" s="12" t="s">
        <v>217</v>
      </c>
      <c r="I27" s="11" t="s">
        <v>299</v>
      </c>
    </row>
    <row r="28" spans="1:9" ht="27.75" customHeight="1" x14ac:dyDescent="0.45">
      <c r="A28" s="11" t="s">
        <v>300</v>
      </c>
      <c r="B28" s="11" t="s">
        <v>222</v>
      </c>
      <c r="C28" s="11" t="s">
        <v>190</v>
      </c>
      <c r="D28" s="11" t="s">
        <v>110</v>
      </c>
      <c r="E28" s="12" t="s">
        <v>101</v>
      </c>
      <c r="F28" s="12" t="s">
        <v>301</v>
      </c>
      <c r="G28" s="11" t="s">
        <v>302</v>
      </c>
      <c r="H28" s="12" t="s">
        <v>217</v>
      </c>
      <c r="I28" s="11" t="s">
        <v>303</v>
      </c>
    </row>
    <row r="29" spans="1:9" ht="27.75" customHeight="1" x14ac:dyDescent="0.45">
      <c r="A29" s="11" t="s">
        <v>304</v>
      </c>
      <c r="B29" s="11" t="s">
        <v>222</v>
      </c>
      <c r="C29" s="11" t="s">
        <v>190</v>
      </c>
      <c r="D29" s="11" t="s">
        <v>110</v>
      </c>
      <c r="E29" s="12" t="s">
        <v>101</v>
      </c>
      <c r="F29" s="12" t="s">
        <v>305</v>
      </c>
      <c r="G29" s="11" t="s">
        <v>306</v>
      </c>
      <c r="H29" s="12" t="s">
        <v>208</v>
      </c>
      <c r="I29" s="11" t="s">
        <v>192</v>
      </c>
    </row>
    <row r="30" spans="1:9" ht="27.75" customHeight="1" x14ac:dyDescent="0.45">
      <c r="A30" s="11" t="s">
        <v>307</v>
      </c>
      <c r="B30" s="11" t="s">
        <v>222</v>
      </c>
      <c r="C30" s="11" t="s">
        <v>190</v>
      </c>
      <c r="D30" s="11" t="s">
        <v>110</v>
      </c>
      <c r="E30" s="12" t="s">
        <v>101</v>
      </c>
      <c r="F30" s="12" t="s">
        <v>308</v>
      </c>
      <c r="G30" s="11" t="s">
        <v>309</v>
      </c>
      <c r="H30" s="12" t="s">
        <v>208</v>
      </c>
      <c r="I30" s="11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tabSelected="1" zoomScaleNormal="100" workbookViewId="0"/>
  </sheetViews>
  <sheetFormatPr defaultColWidth="8.6640625" defaultRowHeight="14.25" x14ac:dyDescent="0.45"/>
  <cols>
    <col min="1" max="1" width="25" customWidth="1"/>
    <col min="2" max="2" width="12" customWidth="1"/>
    <col min="3" max="3" width="40" customWidth="1"/>
    <col min="4" max="4" width="30" customWidth="1"/>
    <col min="5" max="5" width="18" customWidth="1"/>
    <col min="6" max="6" width="30" customWidth="1"/>
    <col min="7" max="7" width="12" customWidth="1"/>
    <col min="8" max="8" width="8" customWidth="1"/>
    <col min="9" max="9" width="12" customWidth="1"/>
    <col min="10" max="10" width="15" customWidth="1"/>
    <col min="11" max="11" width="60" customWidth="1"/>
    <col min="12" max="12" width="12" customWidth="1"/>
  </cols>
  <sheetData>
    <row r="1" spans="1:12" ht="28.5" customHeight="1" x14ac:dyDescent="0.45">
      <c r="A1" s="1" t="s">
        <v>43</v>
      </c>
      <c r="B1" s="1" t="s">
        <v>44</v>
      </c>
      <c r="C1" s="1" t="s">
        <v>45</v>
      </c>
      <c r="D1" s="1" t="s">
        <v>46</v>
      </c>
      <c r="E1" s="1" t="s">
        <v>310</v>
      </c>
      <c r="F1" s="1" t="s">
        <v>311</v>
      </c>
      <c r="G1" s="1" t="s">
        <v>49</v>
      </c>
      <c r="H1" s="1" t="s">
        <v>50</v>
      </c>
      <c r="I1" s="1" t="s">
        <v>312</v>
      </c>
      <c r="J1" s="1" t="s">
        <v>313</v>
      </c>
      <c r="K1" s="1" t="s">
        <v>314</v>
      </c>
      <c r="L1" s="1" t="s">
        <v>54</v>
      </c>
    </row>
    <row r="2" spans="1:12" ht="18" customHeight="1" x14ac:dyDescent="0.45">
      <c r="A2" s="26" t="s">
        <v>55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7.75" customHeight="1" x14ac:dyDescent="0.45">
      <c r="A3" s="4" t="s">
        <v>56</v>
      </c>
      <c r="B3" s="5" t="s">
        <v>57</v>
      </c>
      <c r="C3" s="4" t="s">
        <v>315</v>
      </c>
      <c r="D3" s="4" t="s">
        <v>316</v>
      </c>
      <c r="E3" s="4" t="s">
        <v>317</v>
      </c>
      <c r="F3" s="4" t="s">
        <v>318</v>
      </c>
      <c r="G3" s="5" t="s">
        <v>25</v>
      </c>
      <c r="H3" s="5" t="s">
        <v>63</v>
      </c>
      <c r="I3" s="5" t="s">
        <v>81</v>
      </c>
      <c r="J3" s="4" t="s">
        <v>82</v>
      </c>
      <c r="K3" s="4" t="s">
        <v>319</v>
      </c>
      <c r="L3" s="5" t="s">
        <v>320</v>
      </c>
    </row>
    <row r="4" spans="1:12" ht="27.75" customHeight="1" x14ac:dyDescent="0.45">
      <c r="A4" s="4" t="s">
        <v>56</v>
      </c>
      <c r="B4" s="5" t="s">
        <v>57</v>
      </c>
      <c r="C4" s="4" t="s">
        <v>85</v>
      </c>
      <c r="D4" s="4" t="s">
        <v>86</v>
      </c>
      <c r="E4" s="4" t="s">
        <v>321</v>
      </c>
      <c r="F4" s="4" t="s">
        <v>322</v>
      </c>
      <c r="G4" s="5" t="s">
        <v>25</v>
      </c>
      <c r="H4" s="5" t="s">
        <v>63</v>
      </c>
      <c r="I4" s="5" t="s">
        <v>64</v>
      </c>
      <c r="J4" s="4" t="s">
        <v>65</v>
      </c>
      <c r="K4" s="4" t="s">
        <v>323</v>
      </c>
      <c r="L4" s="5" t="s">
        <v>324</v>
      </c>
    </row>
    <row r="5" spans="1:12" ht="27.75" customHeight="1" x14ac:dyDescent="0.45">
      <c r="A5" s="4" t="s">
        <v>56</v>
      </c>
      <c r="B5" s="5" t="s">
        <v>325</v>
      </c>
      <c r="C5" s="4" t="s">
        <v>326</v>
      </c>
      <c r="D5" s="4" t="s">
        <v>327</v>
      </c>
      <c r="E5" s="4"/>
      <c r="F5" s="4" t="s">
        <v>328</v>
      </c>
      <c r="G5" s="5" t="s">
        <v>25</v>
      </c>
      <c r="H5" s="5" t="s">
        <v>63</v>
      </c>
      <c r="I5" s="5" t="s">
        <v>81</v>
      </c>
      <c r="J5" s="4" t="s">
        <v>82</v>
      </c>
      <c r="K5" s="4" t="s">
        <v>329</v>
      </c>
      <c r="L5" s="5" t="s">
        <v>330</v>
      </c>
    </row>
    <row r="6" spans="1:12" ht="27.75" customHeight="1" x14ac:dyDescent="0.45">
      <c r="A6" s="4" t="s">
        <v>56</v>
      </c>
      <c r="B6" s="5" t="s">
        <v>325</v>
      </c>
      <c r="C6" s="4" t="s">
        <v>331</v>
      </c>
      <c r="D6" s="4" t="s">
        <v>332</v>
      </c>
      <c r="E6" s="4"/>
      <c r="F6" s="4" t="s">
        <v>333</v>
      </c>
      <c r="G6" s="5" t="s">
        <v>25</v>
      </c>
      <c r="H6" s="5" t="s">
        <v>63</v>
      </c>
      <c r="I6" s="5" t="s">
        <v>81</v>
      </c>
      <c r="J6" s="4" t="s">
        <v>334</v>
      </c>
      <c r="K6" s="4" t="s">
        <v>335</v>
      </c>
      <c r="L6" s="5" t="s">
        <v>336</v>
      </c>
    </row>
    <row r="7" spans="1:12" ht="27.75" customHeight="1" x14ac:dyDescent="0.45"/>
    <row r="8" spans="1:12" ht="18" customHeight="1" x14ac:dyDescent="0.45">
      <c r="A8" s="2" t="s">
        <v>100</v>
      </c>
      <c r="B8" s="3"/>
      <c r="C8" s="2"/>
      <c r="D8" s="2"/>
      <c r="E8" s="2"/>
      <c r="F8" s="2"/>
      <c r="G8" s="3"/>
      <c r="H8" s="3"/>
      <c r="I8" s="3"/>
      <c r="J8" s="2"/>
      <c r="K8" s="2"/>
      <c r="L8" s="3"/>
    </row>
    <row r="9" spans="1:12" ht="27.75" customHeight="1" x14ac:dyDescent="0.45">
      <c r="A9" s="6" t="s">
        <v>110</v>
      </c>
      <c r="B9" s="7" t="s">
        <v>101</v>
      </c>
      <c r="C9" s="6" t="s">
        <v>164</v>
      </c>
      <c r="D9" s="6" t="s">
        <v>165</v>
      </c>
      <c r="E9" s="6"/>
      <c r="F9" s="6" t="s">
        <v>337</v>
      </c>
      <c r="G9" s="7" t="s">
        <v>25</v>
      </c>
      <c r="H9" s="7" t="s">
        <v>63</v>
      </c>
      <c r="I9" s="7" t="s">
        <v>338</v>
      </c>
      <c r="J9" s="6" t="s">
        <v>339</v>
      </c>
      <c r="K9" s="6" t="s">
        <v>340</v>
      </c>
      <c r="L9" s="7" t="s">
        <v>341</v>
      </c>
    </row>
    <row r="10" spans="1:12" ht="27.75" customHeight="1" x14ac:dyDescent="0.45">
      <c r="A10" s="6" t="s">
        <v>110</v>
      </c>
      <c r="B10" s="7" t="s">
        <v>101</v>
      </c>
      <c r="C10" s="6" t="s">
        <v>342</v>
      </c>
      <c r="D10" s="6" t="s">
        <v>159</v>
      </c>
      <c r="E10" s="6"/>
      <c r="F10" s="6" t="s">
        <v>337</v>
      </c>
      <c r="G10" s="7" t="s">
        <v>25</v>
      </c>
      <c r="H10" s="7" t="s">
        <v>63</v>
      </c>
      <c r="I10" s="7" t="s">
        <v>338</v>
      </c>
      <c r="J10" s="6" t="s">
        <v>343</v>
      </c>
      <c r="K10" s="6" t="s">
        <v>344</v>
      </c>
      <c r="L10" s="7" t="s">
        <v>341</v>
      </c>
    </row>
    <row r="11" spans="1:12" ht="27.75" customHeight="1" x14ac:dyDescent="0.45">
      <c r="A11" s="6" t="s">
        <v>110</v>
      </c>
      <c r="B11" s="7" t="s">
        <v>101</v>
      </c>
      <c r="C11" s="6" t="s">
        <v>345</v>
      </c>
      <c r="D11" s="6" t="s">
        <v>346</v>
      </c>
      <c r="E11" s="6" t="s">
        <v>347</v>
      </c>
      <c r="F11" s="6" t="s">
        <v>348</v>
      </c>
      <c r="G11" s="7" t="s">
        <v>25</v>
      </c>
      <c r="H11" s="7" t="s">
        <v>63</v>
      </c>
      <c r="I11" s="7" t="s">
        <v>73</v>
      </c>
      <c r="J11" s="6" t="s">
        <v>349</v>
      </c>
      <c r="K11" s="6" t="s">
        <v>350</v>
      </c>
      <c r="L11" s="7" t="s">
        <v>351</v>
      </c>
    </row>
    <row r="12" spans="1:12" ht="27.75" customHeight="1" x14ac:dyDescent="0.45">
      <c r="A12" s="6" t="s">
        <v>110</v>
      </c>
      <c r="B12" s="7" t="s">
        <v>101</v>
      </c>
      <c r="C12" s="6" t="s">
        <v>144</v>
      </c>
      <c r="D12" s="6" t="s">
        <v>145</v>
      </c>
      <c r="E12" s="6"/>
      <c r="F12" s="6" t="s">
        <v>337</v>
      </c>
      <c r="G12" s="7" t="s">
        <v>25</v>
      </c>
      <c r="H12" s="7" t="s">
        <v>63</v>
      </c>
      <c r="I12" s="7" t="s">
        <v>352</v>
      </c>
      <c r="J12" s="6" t="s">
        <v>353</v>
      </c>
      <c r="K12" s="6" t="s">
        <v>354</v>
      </c>
      <c r="L12" s="7" t="s">
        <v>355</v>
      </c>
    </row>
    <row r="13" spans="1:12" ht="27.75" customHeight="1" x14ac:dyDescent="0.45">
      <c r="A13" s="6" t="s">
        <v>110</v>
      </c>
      <c r="B13" s="7" t="s">
        <v>101</v>
      </c>
      <c r="C13" s="6" t="s">
        <v>356</v>
      </c>
      <c r="D13" s="6" t="s">
        <v>357</v>
      </c>
      <c r="E13" s="6"/>
      <c r="F13" s="6" t="s">
        <v>358</v>
      </c>
      <c r="G13" s="7" t="s">
        <v>25</v>
      </c>
      <c r="H13" s="7" t="s">
        <v>63</v>
      </c>
      <c r="I13" s="7" t="s">
        <v>359</v>
      </c>
      <c r="J13" s="6" t="s">
        <v>360</v>
      </c>
      <c r="K13" s="6" t="s">
        <v>361</v>
      </c>
      <c r="L13" s="7" t="s">
        <v>362</v>
      </c>
    </row>
    <row r="14" spans="1:12" ht="27.75" customHeight="1" x14ac:dyDescent="0.45">
      <c r="A14" s="6" t="s">
        <v>110</v>
      </c>
      <c r="B14" s="7" t="s">
        <v>101</v>
      </c>
      <c r="C14" s="6" t="s">
        <v>363</v>
      </c>
      <c r="D14" s="6" t="s">
        <v>364</v>
      </c>
      <c r="E14" s="6"/>
      <c r="F14" s="6" t="s">
        <v>365</v>
      </c>
      <c r="G14" s="7" t="s">
        <v>25</v>
      </c>
      <c r="H14" s="7" t="s">
        <v>63</v>
      </c>
      <c r="I14" s="7" t="s">
        <v>366</v>
      </c>
      <c r="J14" s="6" t="s">
        <v>367</v>
      </c>
      <c r="K14" s="6" t="s">
        <v>368</v>
      </c>
      <c r="L14" s="7" t="s">
        <v>369</v>
      </c>
    </row>
    <row r="15" spans="1:12" ht="27.75" customHeight="1" x14ac:dyDescent="0.45">
      <c r="A15" s="6" t="s">
        <v>110</v>
      </c>
      <c r="B15" s="7" t="s">
        <v>101</v>
      </c>
      <c r="C15" s="6" t="s">
        <v>125</v>
      </c>
      <c r="D15" s="6" t="s">
        <v>126</v>
      </c>
      <c r="E15" s="6" t="s">
        <v>370</v>
      </c>
      <c r="F15" s="6" t="s">
        <v>371</v>
      </c>
      <c r="G15" s="7" t="s">
        <v>25</v>
      </c>
      <c r="H15" s="7" t="s">
        <v>63</v>
      </c>
      <c r="I15" s="7" t="s">
        <v>338</v>
      </c>
      <c r="J15" s="6" t="s">
        <v>187</v>
      </c>
      <c r="K15" s="6" t="s">
        <v>372</v>
      </c>
      <c r="L15" s="7" t="s">
        <v>373</v>
      </c>
    </row>
    <row r="16" spans="1:12" ht="27.75" customHeight="1" x14ac:dyDescent="0.45">
      <c r="A16" s="6" t="s">
        <v>110</v>
      </c>
      <c r="B16" s="7" t="s">
        <v>101</v>
      </c>
      <c r="C16" s="6" t="s">
        <v>132</v>
      </c>
      <c r="D16" s="6" t="s">
        <v>133</v>
      </c>
      <c r="E16" s="6" t="s">
        <v>374</v>
      </c>
      <c r="F16" s="6" t="s">
        <v>375</v>
      </c>
      <c r="G16" s="7" t="s">
        <v>25</v>
      </c>
      <c r="H16" s="7" t="s">
        <v>63</v>
      </c>
      <c r="I16" s="7" t="s">
        <v>359</v>
      </c>
      <c r="J16" s="6" t="s">
        <v>339</v>
      </c>
      <c r="K16" s="6" t="s">
        <v>376</v>
      </c>
      <c r="L16" s="7" t="s">
        <v>341</v>
      </c>
    </row>
    <row r="17" spans="1:12" ht="27.75" customHeight="1" x14ac:dyDescent="0.45">
      <c r="A17" s="6" t="s">
        <v>110</v>
      </c>
      <c r="B17" s="7" t="s">
        <v>101</v>
      </c>
      <c r="C17" s="6" t="s">
        <v>170</v>
      </c>
      <c r="D17" s="6" t="s">
        <v>171</v>
      </c>
      <c r="E17" s="6"/>
      <c r="F17" s="6" t="s">
        <v>377</v>
      </c>
      <c r="G17" s="7" t="s">
        <v>25</v>
      </c>
      <c r="H17" s="7" t="s">
        <v>63</v>
      </c>
      <c r="I17" s="7" t="s">
        <v>378</v>
      </c>
      <c r="J17" s="6" t="s">
        <v>379</v>
      </c>
      <c r="K17" s="6" t="s">
        <v>380</v>
      </c>
      <c r="L17" s="7" t="s">
        <v>381</v>
      </c>
    </row>
    <row r="18" spans="1:12" ht="27.75" customHeight="1" x14ac:dyDescent="0.45">
      <c r="A18" s="6" t="s">
        <v>110</v>
      </c>
      <c r="B18" s="7" t="s">
        <v>101</v>
      </c>
      <c r="C18" s="6" t="s">
        <v>382</v>
      </c>
      <c r="D18" s="6" t="s">
        <v>383</v>
      </c>
      <c r="E18" s="6" t="s">
        <v>384</v>
      </c>
      <c r="F18" s="6" t="s">
        <v>385</v>
      </c>
      <c r="G18" s="7" t="s">
        <v>25</v>
      </c>
      <c r="H18" s="7" t="s">
        <v>63</v>
      </c>
      <c r="I18" s="7" t="s">
        <v>148</v>
      </c>
      <c r="J18" s="6" t="s">
        <v>122</v>
      </c>
      <c r="K18" s="6" t="s">
        <v>386</v>
      </c>
      <c r="L18" s="7" t="s">
        <v>387</v>
      </c>
    </row>
    <row r="19" spans="1:12" ht="27.75" customHeight="1" x14ac:dyDescent="0.45">
      <c r="A19" s="6" t="s">
        <v>110</v>
      </c>
      <c r="B19" s="7" t="s">
        <v>57</v>
      </c>
      <c r="C19" s="6" t="s">
        <v>388</v>
      </c>
      <c r="D19" s="6" t="s">
        <v>389</v>
      </c>
      <c r="E19" s="6"/>
      <c r="F19" s="6" t="s">
        <v>318</v>
      </c>
      <c r="G19" s="7" t="s">
        <v>25</v>
      </c>
      <c r="H19" s="7" t="s">
        <v>63</v>
      </c>
      <c r="I19" s="7" t="s">
        <v>64</v>
      </c>
      <c r="J19" s="6" t="s">
        <v>74</v>
      </c>
      <c r="K19" s="6" t="s">
        <v>390</v>
      </c>
      <c r="L19" s="7" t="s">
        <v>391</v>
      </c>
    </row>
    <row r="20" spans="1:12" ht="27.75" customHeight="1" x14ac:dyDescent="0.45">
      <c r="A20" s="6" t="s">
        <v>110</v>
      </c>
      <c r="B20" s="7" t="s">
        <v>57</v>
      </c>
      <c r="C20" s="6" t="s">
        <v>392</v>
      </c>
      <c r="D20" s="6" t="s">
        <v>139</v>
      </c>
      <c r="E20" s="6"/>
      <c r="F20" s="6" t="s">
        <v>393</v>
      </c>
      <c r="G20" s="7" t="s">
        <v>25</v>
      </c>
      <c r="H20" s="7" t="s">
        <v>63</v>
      </c>
      <c r="I20" s="7" t="s">
        <v>64</v>
      </c>
      <c r="J20" s="6" t="s">
        <v>74</v>
      </c>
      <c r="K20" s="6" t="s">
        <v>394</v>
      </c>
      <c r="L20" s="7" t="s">
        <v>395</v>
      </c>
    </row>
  </sheetData>
  <mergeCells count="1"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zoomScaleNormal="100" workbookViewId="0"/>
  </sheetViews>
  <sheetFormatPr defaultColWidth="8.6640625" defaultRowHeight="14.25" x14ac:dyDescent="0.45"/>
  <cols>
    <col min="1" max="1" width="25" customWidth="1"/>
    <col min="2" max="2" width="35" customWidth="1"/>
    <col min="3" max="3" width="40" customWidth="1"/>
    <col min="4" max="4" width="25" customWidth="1"/>
    <col min="5" max="5" width="12" customWidth="1"/>
    <col min="6" max="6" width="10" customWidth="1"/>
    <col min="7" max="7" width="30" customWidth="1"/>
    <col min="8" max="9" width="15" customWidth="1"/>
    <col min="10" max="10" width="18" customWidth="1"/>
    <col min="11" max="11" width="35" customWidth="1"/>
    <col min="12" max="12" width="50" customWidth="1"/>
    <col min="13" max="13" width="60" customWidth="1"/>
  </cols>
  <sheetData>
    <row r="1" spans="1:13" ht="28.5" customHeight="1" x14ac:dyDescent="0.45">
      <c r="A1" s="1" t="s">
        <v>197</v>
      </c>
      <c r="B1" s="1" t="s">
        <v>198</v>
      </c>
      <c r="C1" s="1" t="s">
        <v>45</v>
      </c>
      <c r="D1" s="1" t="s">
        <v>199</v>
      </c>
      <c r="E1" s="1" t="s">
        <v>200</v>
      </c>
      <c r="F1" s="1" t="s">
        <v>54</v>
      </c>
      <c r="G1" s="1" t="s">
        <v>201</v>
      </c>
      <c r="H1" s="1" t="s">
        <v>202</v>
      </c>
      <c r="I1" s="1" t="s">
        <v>203</v>
      </c>
      <c r="J1" s="1" t="s">
        <v>396</v>
      </c>
      <c r="K1" s="1" t="s">
        <v>397</v>
      </c>
      <c r="L1" s="1" t="s">
        <v>398</v>
      </c>
      <c r="M1" s="1" t="s">
        <v>399</v>
      </c>
    </row>
    <row r="2" spans="1:13" ht="27.75" customHeight="1" x14ac:dyDescent="0.45">
      <c r="A2" s="4" t="s">
        <v>400</v>
      </c>
      <c r="B2" s="4" t="s">
        <v>210</v>
      </c>
      <c r="C2" s="4" t="s">
        <v>315</v>
      </c>
      <c r="D2" s="4" t="s">
        <v>56</v>
      </c>
      <c r="E2" s="5" t="s">
        <v>57</v>
      </c>
      <c r="F2" s="5" t="s">
        <v>320</v>
      </c>
      <c r="G2" s="4"/>
      <c r="H2" s="5" t="s">
        <v>401</v>
      </c>
      <c r="I2" s="4"/>
      <c r="J2" s="4" t="s">
        <v>317</v>
      </c>
      <c r="K2" s="4"/>
      <c r="L2" s="4" t="s">
        <v>402</v>
      </c>
      <c r="M2" s="4" t="s">
        <v>403</v>
      </c>
    </row>
    <row r="3" spans="1:13" ht="27.75" customHeight="1" x14ac:dyDescent="0.45">
      <c r="A3" s="4" t="s">
        <v>404</v>
      </c>
      <c r="B3" s="4" t="s">
        <v>405</v>
      </c>
      <c r="C3" s="4" t="s">
        <v>315</v>
      </c>
      <c r="D3" s="4" t="s">
        <v>56</v>
      </c>
      <c r="E3" s="5" t="s">
        <v>57</v>
      </c>
      <c r="F3" s="5" t="s">
        <v>320</v>
      </c>
      <c r="G3" s="4"/>
      <c r="H3" s="5" t="s">
        <v>401</v>
      </c>
      <c r="I3" s="4"/>
      <c r="J3" s="4" t="s">
        <v>317</v>
      </c>
      <c r="K3" s="4"/>
      <c r="L3" s="4" t="s">
        <v>402</v>
      </c>
      <c r="M3" s="4" t="s">
        <v>406</v>
      </c>
    </row>
    <row r="4" spans="1:13" ht="27.75" customHeight="1" x14ac:dyDescent="0.45">
      <c r="A4" s="4" t="s">
        <v>407</v>
      </c>
      <c r="B4" s="4" t="s">
        <v>408</v>
      </c>
      <c r="C4" s="4" t="s">
        <v>326</v>
      </c>
      <c r="D4" s="4" t="s">
        <v>56</v>
      </c>
      <c r="E4" s="5" t="s">
        <v>325</v>
      </c>
      <c r="F4" s="5" t="s">
        <v>330</v>
      </c>
      <c r="G4" s="4"/>
      <c r="H4" s="5" t="s">
        <v>401</v>
      </c>
      <c r="I4" s="4"/>
      <c r="J4" s="4"/>
      <c r="K4" s="4"/>
      <c r="L4" s="4" t="s">
        <v>409</v>
      </c>
      <c r="M4" s="4" t="s">
        <v>410</v>
      </c>
    </row>
    <row r="5" spans="1:13" ht="27.75" customHeight="1" x14ac:dyDescent="0.45">
      <c r="A5" s="4" t="s">
        <v>411</v>
      </c>
      <c r="B5" s="4" t="s">
        <v>412</v>
      </c>
      <c r="C5" s="4" t="s">
        <v>331</v>
      </c>
      <c r="D5" s="4" t="s">
        <v>56</v>
      </c>
      <c r="E5" s="5" t="s">
        <v>325</v>
      </c>
      <c r="F5" s="5" t="s">
        <v>336</v>
      </c>
      <c r="G5" s="4" t="s">
        <v>413</v>
      </c>
      <c r="H5" s="5" t="s">
        <v>217</v>
      </c>
      <c r="I5" s="4"/>
      <c r="J5" s="4"/>
      <c r="K5" s="4" t="s">
        <v>414</v>
      </c>
      <c r="L5" s="4" t="s">
        <v>415</v>
      </c>
      <c r="M5" s="4" t="s">
        <v>416</v>
      </c>
    </row>
    <row r="6" spans="1:13" ht="27.75" customHeight="1" x14ac:dyDescent="0.45">
      <c r="A6" s="6" t="s">
        <v>266</v>
      </c>
      <c r="B6" s="6" t="s">
        <v>222</v>
      </c>
      <c r="C6" s="6" t="s">
        <v>164</v>
      </c>
      <c r="D6" s="6" t="s">
        <v>110</v>
      </c>
      <c r="E6" s="7" t="s">
        <v>101</v>
      </c>
      <c r="F6" s="7" t="s">
        <v>341</v>
      </c>
      <c r="G6" s="6"/>
      <c r="H6" s="7" t="s">
        <v>401</v>
      </c>
      <c r="I6" s="6"/>
      <c r="J6" s="6"/>
      <c r="K6" s="6"/>
      <c r="L6" s="6" t="s">
        <v>340</v>
      </c>
      <c r="M6" s="6" t="s">
        <v>417</v>
      </c>
    </row>
    <row r="7" spans="1:13" ht="27.75" customHeight="1" x14ac:dyDescent="0.45">
      <c r="A7" s="6" t="s">
        <v>418</v>
      </c>
      <c r="B7" s="6" t="s">
        <v>222</v>
      </c>
      <c r="C7" s="6" t="s">
        <v>345</v>
      </c>
      <c r="D7" s="6" t="s">
        <v>110</v>
      </c>
      <c r="E7" s="7" t="s">
        <v>101</v>
      </c>
      <c r="F7" s="7" t="s">
        <v>351</v>
      </c>
      <c r="G7" s="6"/>
      <c r="H7" s="7" t="s">
        <v>401</v>
      </c>
      <c r="I7" s="6"/>
      <c r="J7" s="6" t="s">
        <v>347</v>
      </c>
      <c r="K7" s="6"/>
      <c r="L7" s="6" t="s">
        <v>350</v>
      </c>
      <c r="M7" s="6" t="s">
        <v>419</v>
      </c>
    </row>
    <row r="8" spans="1:13" ht="27.75" customHeight="1" x14ac:dyDescent="0.45">
      <c r="A8" s="6" t="s">
        <v>420</v>
      </c>
      <c r="B8" s="6" t="s">
        <v>222</v>
      </c>
      <c r="C8" s="6" t="s">
        <v>144</v>
      </c>
      <c r="D8" s="6" t="s">
        <v>110</v>
      </c>
      <c r="E8" s="7" t="s">
        <v>101</v>
      </c>
      <c r="F8" s="7" t="s">
        <v>355</v>
      </c>
      <c r="G8" s="6"/>
      <c r="H8" s="7" t="s">
        <v>401</v>
      </c>
      <c r="I8" s="6"/>
      <c r="J8" s="6"/>
      <c r="K8" s="6"/>
      <c r="L8" s="6" t="s">
        <v>354</v>
      </c>
      <c r="M8" s="6" t="s">
        <v>421</v>
      </c>
    </row>
    <row r="9" spans="1:13" ht="27.75" customHeight="1" x14ac:dyDescent="0.45">
      <c r="A9" s="6" t="s">
        <v>422</v>
      </c>
      <c r="B9" s="6" t="s">
        <v>222</v>
      </c>
      <c r="C9" s="6" t="s">
        <v>356</v>
      </c>
      <c r="D9" s="6" t="s">
        <v>110</v>
      </c>
      <c r="E9" s="7" t="s">
        <v>101</v>
      </c>
      <c r="F9" s="7" t="s">
        <v>362</v>
      </c>
      <c r="G9" s="6"/>
      <c r="H9" s="7" t="s">
        <v>401</v>
      </c>
      <c r="I9" s="6"/>
      <c r="J9" s="6"/>
      <c r="K9" s="6"/>
      <c r="L9" s="6" t="s">
        <v>361</v>
      </c>
      <c r="M9" s="6" t="s">
        <v>423</v>
      </c>
    </row>
    <row r="10" spans="1:13" ht="27.75" customHeight="1" x14ac:dyDescent="0.45">
      <c r="A10" s="6" t="s">
        <v>424</v>
      </c>
      <c r="B10" s="6" t="s">
        <v>222</v>
      </c>
      <c r="C10" s="6" t="s">
        <v>356</v>
      </c>
      <c r="D10" s="6" t="s">
        <v>110</v>
      </c>
      <c r="E10" s="7" t="s">
        <v>101</v>
      </c>
      <c r="F10" s="7" t="s">
        <v>362</v>
      </c>
      <c r="G10" s="6"/>
      <c r="H10" s="7" t="s">
        <v>401</v>
      </c>
      <c r="I10" s="6"/>
      <c r="J10" s="6"/>
      <c r="K10" s="6"/>
      <c r="L10" s="6" t="s">
        <v>361</v>
      </c>
      <c r="M10" s="6" t="s">
        <v>425</v>
      </c>
    </row>
    <row r="11" spans="1:13" ht="27.75" customHeight="1" x14ac:dyDescent="0.45">
      <c r="A11" s="6" t="s">
        <v>426</v>
      </c>
      <c r="B11" s="6" t="s">
        <v>222</v>
      </c>
      <c r="C11" s="6" t="s">
        <v>356</v>
      </c>
      <c r="D11" s="6" t="s">
        <v>110</v>
      </c>
      <c r="E11" s="7" t="s">
        <v>101</v>
      </c>
      <c r="F11" s="7" t="s">
        <v>362</v>
      </c>
      <c r="G11" s="6"/>
      <c r="H11" s="7" t="s">
        <v>401</v>
      </c>
      <c r="I11" s="6"/>
      <c r="J11" s="6"/>
      <c r="K11" s="6"/>
      <c r="L11" s="6" t="s">
        <v>361</v>
      </c>
      <c r="M11" s="6" t="s">
        <v>427</v>
      </c>
    </row>
    <row r="12" spans="1:13" ht="27.75" customHeight="1" x14ac:dyDescent="0.45">
      <c r="A12" s="6" t="s">
        <v>428</v>
      </c>
      <c r="B12" s="6" t="s">
        <v>222</v>
      </c>
      <c r="C12" s="6" t="s">
        <v>356</v>
      </c>
      <c r="D12" s="6" t="s">
        <v>110</v>
      </c>
      <c r="E12" s="7" t="s">
        <v>101</v>
      </c>
      <c r="F12" s="7" t="s">
        <v>362</v>
      </c>
      <c r="G12" s="6"/>
      <c r="H12" s="7" t="s">
        <v>401</v>
      </c>
      <c r="I12" s="6"/>
      <c r="J12" s="6"/>
      <c r="K12" s="6"/>
      <c r="L12" s="6" t="s">
        <v>361</v>
      </c>
      <c r="M12" s="6" t="s">
        <v>429</v>
      </c>
    </row>
    <row r="13" spans="1:13" ht="27.75" customHeight="1" x14ac:dyDescent="0.45">
      <c r="A13" s="6" t="s">
        <v>430</v>
      </c>
      <c r="B13" s="6" t="s">
        <v>222</v>
      </c>
      <c r="C13" s="6" t="s">
        <v>356</v>
      </c>
      <c r="D13" s="6" t="s">
        <v>110</v>
      </c>
      <c r="E13" s="7" t="s">
        <v>101</v>
      </c>
      <c r="F13" s="7" t="s">
        <v>362</v>
      </c>
      <c r="G13" s="6"/>
      <c r="H13" s="7" t="s">
        <v>401</v>
      </c>
      <c r="I13" s="6"/>
      <c r="J13" s="6"/>
      <c r="K13" s="6"/>
      <c r="L13" s="6" t="s">
        <v>361</v>
      </c>
      <c r="M13" s="6" t="s">
        <v>431</v>
      </c>
    </row>
    <row r="14" spans="1:13" ht="27.75" customHeight="1" x14ac:dyDescent="0.45">
      <c r="A14" s="6" t="s">
        <v>432</v>
      </c>
      <c r="B14" s="6" t="s">
        <v>222</v>
      </c>
      <c r="C14" s="6" t="s">
        <v>125</v>
      </c>
      <c r="D14" s="6" t="s">
        <v>110</v>
      </c>
      <c r="E14" s="7" t="s">
        <v>101</v>
      </c>
      <c r="F14" s="7" t="s">
        <v>373</v>
      </c>
      <c r="G14" s="6"/>
      <c r="H14" s="7" t="s">
        <v>401</v>
      </c>
      <c r="I14" s="6"/>
      <c r="J14" s="6" t="s">
        <v>370</v>
      </c>
      <c r="K14" s="6"/>
      <c r="L14" s="6" t="s">
        <v>372</v>
      </c>
      <c r="M14" s="6" t="s">
        <v>433</v>
      </c>
    </row>
    <row r="15" spans="1:13" ht="27.75" customHeight="1" x14ac:dyDescent="0.45">
      <c r="A15" s="6" t="s">
        <v>434</v>
      </c>
      <c r="B15" s="6" t="s">
        <v>222</v>
      </c>
      <c r="C15" s="6" t="s">
        <v>132</v>
      </c>
      <c r="D15" s="6" t="s">
        <v>110</v>
      </c>
      <c r="E15" s="7" t="s">
        <v>101</v>
      </c>
      <c r="F15" s="7" t="s">
        <v>341</v>
      </c>
      <c r="G15" s="6"/>
      <c r="H15" s="7" t="s">
        <v>401</v>
      </c>
      <c r="I15" s="6"/>
      <c r="J15" s="6" t="s">
        <v>374</v>
      </c>
      <c r="K15" s="6"/>
      <c r="L15" s="6" t="s">
        <v>376</v>
      </c>
      <c r="M15" s="6" t="s">
        <v>435</v>
      </c>
    </row>
    <row r="16" spans="1:13" ht="27.75" customHeight="1" x14ac:dyDescent="0.45">
      <c r="A16" s="6" t="s">
        <v>436</v>
      </c>
      <c r="B16" s="6" t="s">
        <v>222</v>
      </c>
      <c r="C16" s="6" t="s">
        <v>170</v>
      </c>
      <c r="D16" s="6" t="s">
        <v>110</v>
      </c>
      <c r="E16" s="7" t="s">
        <v>101</v>
      </c>
      <c r="F16" s="7" t="s">
        <v>381</v>
      </c>
      <c r="G16" s="6"/>
      <c r="H16" s="7" t="s">
        <v>401</v>
      </c>
      <c r="I16" s="6"/>
      <c r="J16" s="6"/>
      <c r="K16" s="6"/>
      <c r="L16" s="6" t="s">
        <v>380</v>
      </c>
      <c r="M16" s="6" t="s">
        <v>437</v>
      </c>
    </row>
    <row r="17" spans="1:13" ht="27.75" customHeight="1" x14ac:dyDescent="0.45">
      <c r="A17" s="6" t="s">
        <v>438</v>
      </c>
      <c r="B17" s="6" t="s">
        <v>296</v>
      </c>
      <c r="C17" s="6" t="s">
        <v>382</v>
      </c>
      <c r="D17" s="6" t="s">
        <v>110</v>
      </c>
      <c r="E17" s="7" t="s">
        <v>101</v>
      </c>
      <c r="F17" s="7" t="s">
        <v>387</v>
      </c>
      <c r="G17" s="6"/>
      <c r="H17" s="7" t="s">
        <v>401</v>
      </c>
      <c r="I17" s="6"/>
      <c r="J17" s="6" t="s">
        <v>384</v>
      </c>
      <c r="K17" s="6"/>
      <c r="L17" s="6" t="s">
        <v>439</v>
      </c>
      <c r="M17" s="6" t="s">
        <v>440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3"/>
  <sheetViews>
    <sheetView zoomScaleNormal="100" workbookViewId="0"/>
  </sheetViews>
  <sheetFormatPr defaultColWidth="8.6640625" defaultRowHeight="14.25" x14ac:dyDescent="0.45"/>
  <cols>
    <col min="1" max="1" width="25" customWidth="1"/>
    <col min="2" max="2" width="12" customWidth="1"/>
    <col min="3" max="3" width="40" customWidth="1"/>
    <col min="4" max="4" width="30" customWidth="1"/>
    <col min="5" max="5" width="18" customWidth="1"/>
    <col min="6" max="6" width="30" customWidth="1"/>
    <col min="7" max="7" width="12" customWidth="1"/>
    <col min="8" max="8" width="8" customWidth="1"/>
    <col min="9" max="9" width="12" customWidth="1"/>
    <col min="10" max="10" width="15" customWidth="1"/>
    <col min="11" max="11" width="60" customWidth="1"/>
    <col min="12" max="12" width="12" customWidth="1"/>
  </cols>
  <sheetData>
    <row r="1" spans="1:12" ht="28.5" customHeight="1" x14ac:dyDescent="0.45">
      <c r="A1" s="1" t="s">
        <v>43</v>
      </c>
      <c r="B1" s="1" t="s">
        <v>44</v>
      </c>
      <c r="C1" s="1" t="s">
        <v>45</v>
      </c>
      <c r="D1" s="1" t="s">
        <v>46</v>
      </c>
      <c r="E1" s="1" t="s">
        <v>310</v>
      </c>
      <c r="F1" s="1" t="s">
        <v>311</v>
      </c>
      <c r="G1" s="1" t="s">
        <v>49</v>
      </c>
      <c r="H1" s="1" t="s">
        <v>50</v>
      </c>
      <c r="I1" s="1" t="s">
        <v>312</v>
      </c>
      <c r="J1" s="1" t="s">
        <v>313</v>
      </c>
      <c r="K1" s="1" t="s">
        <v>314</v>
      </c>
      <c r="L1" s="1" t="s">
        <v>54</v>
      </c>
    </row>
    <row r="2" spans="1:12" ht="18" customHeight="1" x14ac:dyDescent="0.45">
      <c r="A2" s="26" t="s">
        <v>55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7.75" customHeight="1" x14ac:dyDescent="0.45">
      <c r="A3" s="13" t="s">
        <v>56</v>
      </c>
      <c r="B3" s="14" t="s">
        <v>441</v>
      </c>
      <c r="C3" s="13" t="s">
        <v>442</v>
      </c>
      <c r="D3" s="13" t="s">
        <v>443</v>
      </c>
      <c r="E3" s="13"/>
      <c r="F3" s="13" t="s">
        <v>444</v>
      </c>
      <c r="G3" s="14" t="s">
        <v>30</v>
      </c>
      <c r="H3" s="14" t="s">
        <v>63</v>
      </c>
      <c r="I3" s="14" t="s">
        <v>81</v>
      </c>
      <c r="J3" s="13" t="s">
        <v>445</v>
      </c>
      <c r="K3" s="13" t="s">
        <v>446</v>
      </c>
      <c r="L3" s="14" t="s">
        <v>447</v>
      </c>
    </row>
    <row r="4" spans="1:12" ht="27.75" customHeight="1" x14ac:dyDescent="0.45">
      <c r="A4" s="13" t="s">
        <v>56</v>
      </c>
      <c r="B4" s="14" t="s">
        <v>441</v>
      </c>
      <c r="C4" s="13" t="s">
        <v>448</v>
      </c>
      <c r="D4" s="13" t="s">
        <v>449</v>
      </c>
      <c r="E4" s="13"/>
      <c r="F4" s="13" t="s">
        <v>450</v>
      </c>
      <c r="G4" s="14" t="s">
        <v>30</v>
      </c>
      <c r="H4" s="14" t="s">
        <v>63</v>
      </c>
      <c r="I4" s="14" t="s">
        <v>81</v>
      </c>
      <c r="J4" s="13" t="s">
        <v>445</v>
      </c>
      <c r="K4" s="13" t="s">
        <v>451</v>
      </c>
      <c r="L4" s="14" t="s">
        <v>447</v>
      </c>
    </row>
    <row r="5" spans="1:12" ht="27.75" customHeight="1" x14ac:dyDescent="0.45">
      <c r="A5" s="13" t="s">
        <v>56</v>
      </c>
      <c r="B5" s="14" t="s">
        <v>441</v>
      </c>
      <c r="C5" s="13" t="s">
        <v>452</v>
      </c>
      <c r="D5" s="13" t="s">
        <v>453</v>
      </c>
      <c r="E5" s="13"/>
      <c r="F5" s="13" t="s">
        <v>444</v>
      </c>
      <c r="G5" s="14" t="s">
        <v>30</v>
      </c>
      <c r="H5" s="14" t="s">
        <v>63</v>
      </c>
      <c r="I5" s="14" t="s">
        <v>64</v>
      </c>
      <c r="J5" s="13" t="s">
        <v>454</v>
      </c>
      <c r="K5" s="13" t="s">
        <v>455</v>
      </c>
      <c r="L5" s="14" t="s">
        <v>447</v>
      </c>
    </row>
    <row r="6" spans="1:12" ht="27.75" customHeight="1" x14ac:dyDescent="0.45">
      <c r="A6" s="13" t="s">
        <v>56</v>
      </c>
      <c r="B6" s="14" t="s">
        <v>441</v>
      </c>
      <c r="C6" s="13" t="s">
        <v>456</v>
      </c>
      <c r="D6" s="13" t="s">
        <v>457</v>
      </c>
      <c r="E6" s="13" t="s">
        <v>458</v>
      </c>
      <c r="F6" s="13" t="s">
        <v>444</v>
      </c>
      <c r="G6" s="14" t="s">
        <v>30</v>
      </c>
      <c r="H6" s="14" t="s">
        <v>63</v>
      </c>
      <c r="I6" s="14" t="s">
        <v>64</v>
      </c>
      <c r="J6" s="13" t="s">
        <v>454</v>
      </c>
      <c r="K6" s="13" t="s">
        <v>459</v>
      </c>
      <c r="L6" s="14" t="s">
        <v>447</v>
      </c>
    </row>
    <row r="7" spans="1:12" ht="27.75" customHeight="1" x14ac:dyDescent="0.45">
      <c r="A7" s="13" t="s">
        <v>56</v>
      </c>
      <c r="B7" s="14" t="s">
        <v>441</v>
      </c>
      <c r="C7" s="13" t="s">
        <v>460</v>
      </c>
      <c r="D7" s="13" t="s">
        <v>461</v>
      </c>
      <c r="E7" s="13"/>
      <c r="F7" s="13" t="s">
        <v>462</v>
      </c>
      <c r="G7" s="14" t="s">
        <v>30</v>
      </c>
      <c r="H7" s="14" t="s">
        <v>63</v>
      </c>
      <c r="I7" s="14" t="s">
        <v>64</v>
      </c>
      <c r="J7" s="13" t="s">
        <v>454</v>
      </c>
      <c r="K7" s="13" t="s">
        <v>463</v>
      </c>
      <c r="L7" s="14" t="s">
        <v>464</v>
      </c>
    </row>
    <row r="8" spans="1:12" ht="27.75" customHeight="1" x14ac:dyDescent="0.45">
      <c r="A8" s="13" t="s">
        <v>56</v>
      </c>
      <c r="B8" s="14" t="s">
        <v>441</v>
      </c>
      <c r="C8" s="13" t="s">
        <v>465</v>
      </c>
      <c r="D8" s="13" t="s">
        <v>466</v>
      </c>
      <c r="E8" s="13" t="s">
        <v>317</v>
      </c>
      <c r="F8" s="13" t="s">
        <v>467</v>
      </c>
      <c r="G8" s="14" t="s">
        <v>25</v>
      </c>
      <c r="H8" s="14" t="s">
        <v>63</v>
      </c>
      <c r="I8" s="14" t="s">
        <v>81</v>
      </c>
      <c r="J8" s="13" t="s">
        <v>445</v>
      </c>
      <c r="K8" s="13" t="s">
        <v>468</v>
      </c>
      <c r="L8" s="14" t="s">
        <v>464</v>
      </c>
    </row>
    <row r="9" spans="1:12" ht="18" customHeight="1" x14ac:dyDescent="0.45">
      <c r="A9" s="26" t="s">
        <v>100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2" ht="27.75" customHeight="1" x14ac:dyDescent="0.45">
      <c r="A10" s="11" t="s">
        <v>110</v>
      </c>
      <c r="B10" s="12" t="s">
        <v>469</v>
      </c>
      <c r="C10" s="11" t="s">
        <v>102</v>
      </c>
      <c r="D10" s="11" t="s">
        <v>103</v>
      </c>
      <c r="E10" s="11" t="s">
        <v>470</v>
      </c>
      <c r="F10" s="11" t="s">
        <v>471</v>
      </c>
      <c r="G10" s="12" t="s">
        <v>30</v>
      </c>
      <c r="H10" s="12" t="s">
        <v>63</v>
      </c>
      <c r="I10" s="12" t="s">
        <v>106</v>
      </c>
      <c r="J10" s="11" t="s">
        <v>107</v>
      </c>
      <c r="K10" s="11" t="s">
        <v>472</v>
      </c>
      <c r="L10" s="12" t="s">
        <v>473</v>
      </c>
    </row>
    <row r="11" spans="1:12" ht="27.75" customHeight="1" x14ac:dyDescent="0.45">
      <c r="A11" s="11" t="s">
        <v>110</v>
      </c>
      <c r="B11" s="12" t="s">
        <v>469</v>
      </c>
      <c r="C11" s="11" t="s">
        <v>111</v>
      </c>
      <c r="D11" s="11" t="s">
        <v>112</v>
      </c>
      <c r="E11" s="11" t="s">
        <v>474</v>
      </c>
      <c r="F11" s="11" t="s">
        <v>471</v>
      </c>
      <c r="G11" s="12" t="s">
        <v>30</v>
      </c>
      <c r="H11" s="12" t="s">
        <v>63</v>
      </c>
      <c r="I11" s="12" t="s">
        <v>106</v>
      </c>
      <c r="J11" s="11" t="s">
        <v>187</v>
      </c>
      <c r="K11" s="11" t="s">
        <v>475</v>
      </c>
      <c r="L11" s="12" t="s">
        <v>473</v>
      </c>
    </row>
    <row r="12" spans="1:12" ht="27.75" customHeight="1" x14ac:dyDescent="0.45">
      <c r="A12" s="11" t="s">
        <v>110</v>
      </c>
      <c r="B12" s="12" t="s">
        <v>469</v>
      </c>
      <c r="C12" s="11" t="s">
        <v>132</v>
      </c>
      <c r="D12" s="11" t="s">
        <v>133</v>
      </c>
      <c r="E12" s="11" t="s">
        <v>476</v>
      </c>
      <c r="F12" s="11" t="s">
        <v>444</v>
      </c>
      <c r="G12" s="12" t="s">
        <v>30</v>
      </c>
      <c r="H12" s="12" t="s">
        <v>63</v>
      </c>
      <c r="I12" s="12" t="s">
        <v>129</v>
      </c>
      <c r="J12" s="11" t="s">
        <v>339</v>
      </c>
      <c r="K12" s="11" t="s">
        <v>477</v>
      </c>
      <c r="L12" s="12" t="s">
        <v>473</v>
      </c>
    </row>
    <row r="13" spans="1:12" ht="27.75" customHeight="1" x14ac:dyDescent="0.45">
      <c r="A13" s="11" t="s">
        <v>110</v>
      </c>
      <c r="B13" s="12" t="s">
        <v>469</v>
      </c>
      <c r="C13" s="11" t="s">
        <v>144</v>
      </c>
      <c r="D13" s="11" t="s">
        <v>145</v>
      </c>
      <c r="E13" s="11" t="s">
        <v>478</v>
      </c>
      <c r="F13" s="11" t="s">
        <v>444</v>
      </c>
      <c r="G13" s="12" t="s">
        <v>30</v>
      </c>
      <c r="H13" s="12" t="s">
        <v>63</v>
      </c>
      <c r="I13" s="12" t="s">
        <v>148</v>
      </c>
      <c r="J13" s="11" t="s">
        <v>353</v>
      </c>
      <c r="K13" s="11" t="s">
        <v>150</v>
      </c>
      <c r="L13" s="12" t="s">
        <v>473</v>
      </c>
    </row>
    <row r="14" spans="1:12" ht="27.75" customHeight="1" x14ac:dyDescent="0.45">
      <c r="A14" s="11" t="s">
        <v>110</v>
      </c>
      <c r="B14" s="12" t="s">
        <v>469</v>
      </c>
      <c r="C14" s="11" t="s">
        <v>158</v>
      </c>
      <c r="D14" s="11" t="s">
        <v>159</v>
      </c>
      <c r="E14" s="11" t="s">
        <v>479</v>
      </c>
      <c r="F14" s="11" t="s">
        <v>444</v>
      </c>
      <c r="G14" s="12" t="s">
        <v>30</v>
      </c>
      <c r="H14" s="12" t="s">
        <v>63</v>
      </c>
      <c r="I14" s="12" t="s">
        <v>129</v>
      </c>
      <c r="J14" s="11" t="s">
        <v>343</v>
      </c>
      <c r="K14" s="11" t="s">
        <v>480</v>
      </c>
      <c r="L14" s="12" t="s">
        <v>473</v>
      </c>
    </row>
    <row r="15" spans="1:12" ht="27.75" customHeight="1" x14ac:dyDescent="0.45">
      <c r="A15" s="11" t="s">
        <v>110</v>
      </c>
      <c r="B15" s="12" t="s">
        <v>469</v>
      </c>
      <c r="C15" s="11" t="s">
        <v>164</v>
      </c>
      <c r="D15" s="11" t="s">
        <v>165</v>
      </c>
      <c r="E15" s="11" t="s">
        <v>481</v>
      </c>
      <c r="F15" s="11" t="s">
        <v>444</v>
      </c>
      <c r="G15" s="12" t="s">
        <v>30</v>
      </c>
      <c r="H15" s="12" t="s">
        <v>63</v>
      </c>
      <c r="I15" s="12" t="s">
        <v>129</v>
      </c>
      <c r="J15" s="11" t="s">
        <v>339</v>
      </c>
      <c r="K15" s="11" t="s">
        <v>482</v>
      </c>
      <c r="L15" s="12" t="s">
        <v>473</v>
      </c>
    </row>
    <row r="16" spans="1:12" ht="27.75" customHeight="1" x14ac:dyDescent="0.45">
      <c r="A16" s="11" t="s">
        <v>110</v>
      </c>
      <c r="B16" s="12" t="s">
        <v>469</v>
      </c>
      <c r="C16" s="11" t="s">
        <v>125</v>
      </c>
      <c r="D16" s="11" t="s">
        <v>126</v>
      </c>
      <c r="E16" s="11" t="s">
        <v>483</v>
      </c>
      <c r="F16" s="11" t="s">
        <v>444</v>
      </c>
      <c r="G16" s="12" t="s">
        <v>30</v>
      </c>
      <c r="H16" s="12" t="s">
        <v>63</v>
      </c>
      <c r="I16" s="12" t="s">
        <v>129</v>
      </c>
      <c r="J16" s="11" t="s">
        <v>187</v>
      </c>
      <c r="K16" s="11" t="s">
        <v>484</v>
      </c>
      <c r="L16" s="12" t="s">
        <v>473</v>
      </c>
    </row>
    <row r="17" spans="1:12" ht="27.75" customHeight="1" x14ac:dyDescent="0.45">
      <c r="A17" s="11" t="s">
        <v>110</v>
      </c>
      <c r="B17" s="12" t="s">
        <v>469</v>
      </c>
      <c r="C17" s="11" t="s">
        <v>485</v>
      </c>
      <c r="D17" s="11" t="s">
        <v>119</v>
      </c>
      <c r="E17" s="11" t="s">
        <v>486</v>
      </c>
      <c r="F17" s="11" t="s">
        <v>444</v>
      </c>
      <c r="G17" s="12" t="s">
        <v>30</v>
      </c>
      <c r="H17" s="12" t="s">
        <v>63</v>
      </c>
      <c r="I17" s="12" t="s">
        <v>106</v>
      </c>
      <c r="J17" s="11" t="s">
        <v>122</v>
      </c>
      <c r="K17" s="11" t="s">
        <v>123</v>
      </c>
      <c r="L17" s="12" t="s">
        <v>473</v>
      </c>
    </row>
    <row r="18" spans="1:12" ht="27.75" customHeight="1" x14ac:dyDescent="0.45">
      <c r="A18" s="11" t="s">
        <v>110</v>
      </c>
      <c r="B18" s="12" t="s">
        <v>469</v>
      </c>
      <c r="C18" s="11" t="s">
        <v>182</v>
      </c>
      <c r="D18" s="11" t="s">
        <v>183</v>
      </c>
      <c r="E18" s="11" t="s">
        <v>487</v>
      </c>
      <c r="F18" s="11" t="s">
        <v>444</v>
      </c>
      <c r="G18" s="12" t="s">
        <v>30</v>
      </c>
      <c r="H18" s="12" t="s">
        <v>63</v>
      </c>
      <c r="I18" s="12" t="s">
        <v>106</v>
      </c>
      <c r="J18" s="11" t="s">
        <v>187</v>
      </c>
      <c r="K18" s="11" t="s">
        <v>488</v>
      </c>
      <c r="L18" s="12" t="s">
        <v>447</v>
      </c>
    </row>
    <row r="19" spans="1:12" ht="27.75" customHeight="1" x14ac:dyDescent="0.45">
      <c r="A19" s="11" t="s">
        <v>110</v>
      </c>
      <c r="B19" s="12" t="s">
        <v>469</v>
      </c>
      <c r="C19" s="11" t="s">
        <v>152</v>
      </c>
      <c r="D19" s="11" t="s">
        <v>153</v>
      </c>
      <c r="E19" s="11" t="s">
        <v>489</v>
      </c>
      <c r="F19" s="11" t="s">
        <v>444</v>
      </c>
      <c r="G19" s="12" t="s">
        <v>30</v>
      </c>
      <c r="H19" s="12" t="s">
        <v>63</v>
      </c>
      <c r="I19" s="12" t="s">
        <v>129</v>
      </c>
      <c r="J19" s="11" t="s">
        <v>187</v>
      </c>
      <c r="K19" s="11" t="s">
        <v>490</v>
      </c>
      <c r="L19" s="12" t="s">
        <v>473</v>
      </c>
    </row>
    <row r="20" spans="1:12" ht="27.75" customHeight="1" x14ac:dyDescent="0.45">
      <c r="A20" s="11" t="s">
        <v>110</v>
      </c>
      <c r="B20" s="12" t="s">
        <v>469</v>
      </c>
      <c r="C20" s="11" t="s">
        <v>170</v>
      </c>
      <c r="D20" s="11" t="s">
        <v>171</v>
      </c>
      <c r="E20" s="11" t="s">
        <v>491</v>
      </c>
      <c r="F20" s="11" t="s">
        <v>444</v>
      </c>
      <c r="G20" s="12" t="s">
        <v>30</v>
      </c>
      <c r="H20" s="12" t="s">
        <v>63</v>
      </c>
      <c r="I20" s="12" t="s">
        <v>129</v>
      </c>
      <c r="J20" s="11" t="s">
        <v>379</v>
      </c>
      <c r="K20" s="11" t="s">
        <v>174</v>
      </c>
      <c r="L20" s="12" t="s">
        <v>464</v>
      </c>
    </row>
    <row r="21" spans="1:12" ht="27.75" customHeight="1" x14ac:dyDescent="0.45">
      <c r="A21" s="11" t="s">
        <v>110</v>
      </c>
      <c r="B21" s="12" t="s">
        <v>469</v>
      </c>
      <c r="C21" s="11" t="s">
        <v>356</v>
      </c>
      <c r="D21" s="11" t="s">
        <v>357</v>
      </c>
      <c r="E21" s="11" t="s">
        <v>492</v>
      </c>
      <c r="F21" s="11" t="s">
        <v>444</v>
      </c>
      <c r="G21" s="12" t="s">
        <v>30</v>
      </c>
      <c r="H21" s="12" t="s">
        <v>63</v>
      </c>
      <c r="I21" s="12" t="s">
        <v>129</v>
      </c>
      <c r="J21" s="11" t="s">
        <v>360</v>
      </c>
      <c r="K21" s="11" t="s">
        <v>361</v>
      </c>
      <c r="L21" s="12" t="s">
        <v>464</v>
      </c>
    </row>
    <row r="22" spans="1:12" ht="27.75" customHeight="1" x14ac:dyDescent="0.45">
      <c r="A22" s="11" t="s">
        <v>110</v>
      </c>
      <c r="B22" s="12" t="s">
        <v>493</v>
      </c>
      <c r="C22" s="11" t="s">
        <v>68</v>
      </c>
      <c r="D22" s="11" t="s">
        <v>69</v>
      </c>
      <c r="E22" s="11" t="s">
        <v>70</v>
      </c>
      <c r="F22" s="11" t="s">
        <v>494</v>
      </c>
      <c r="G22" s="12" t="s">
        <v>72</v>
      </c>
      <c r="H22" s="12" t="s">
        <v>63</v>
      </c>
      <c r="I22" s="12" t="s">
        <v>73</v>
      </c>
      <c r="J22" s="11" t="s">
        <v>495</v>
      </c>
      <c r="K22" s="11" t="s">
        <v>75</v>
      </c>
      <c r="L22" s="12" t="s">
        <v>447</v>
      </c>
    </row>
    <row r="23" spans="1:12" ht="27.75" customHeight="1" x14ac:dyDescent="0.45">
      <c r="A23" s="11" t="s">
        <v>110</v>
      </c>
      <c r="B23" s="12" t="s">
        <v>493</v>
      </c>
      <c r="C23" s="11" t="s">
        <v>138</v>
      </c>
      <c r="D23" s="11" t="s">
        <v>139</v>
      </c>
      <c r="E23" s="11" t="s">
        <v>140</v>
      </c>
      <c r="F23" s="11" t="s">
        <v>494</v>
      </c>
      <c r="G23" s="12" t="s">
        <v>72</v>
      </c>
      <c r="H23" s="12" t="s">
        <v>63</v>
      </c>
      <c r="I23" s="12" t="s">
        <v>64</v>
      </c>
      <c r="J23" s="11" t="s">
        <v>454</v>
      </c>
      <c r="K23" s="11" t="s">
        <v>496</v>
      </c>
      <c r="L23" s="12" t="s">
        <v>464</v>
      </c>
    </row>
  </sheetData>
  <mergeCells count="2">
    <mergeCell ref="A2:L2"/>
    <mergeCell ref="A9:L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/>
  </sheetViews>
  <sheetFormatPr defaultColWidth="8.6640625" defaultRowHeight="14.25" x14ac:dyDescent="0.45"/>
  <cols>
    <col min="1" max="1" width="25" customWidth="1"/>
    <col min="2" max="2" width="35" customWidth="1"/>
    <col min="3" max="3" width="40" customWidth="1"/>
    <col min="4" max="4" width="25" customWidth="1"/>
    <col min="5" max="5" width="12" customWidth="1"/>
    <col min="6" max="6" width="10" customWidth="1"/>
    <col min="7" max="7" width="30" customWidth="1"/>
    <col min="8" max="9" width="15" customWidth="1"/>
    <col min="10" max="10" width="18" customWidth="1"/>
    <col min="11" max="11" width="35" customWidth="1"/>
    <col min="12" max="12" width="50" customWidth="1"/>
    <col min="13" max="13" width="60" customWidth="1"/>
  </cols>
  <sheetData>
    <row r="1" spans="1:13" ht="28.5" customHeight="1" x14ac:dyDescent="0.45">
      <c r="A1" s="1" t="s">
        <v>197</v>
      </c>
      <c r="B1" s="1" t="s">
        <v>198</v>
      </c>
      <c r="C1" s="1" t="s">
        <v>45</v>
      </c>
      <c r="D1" s="1" t="s">
        <v>199</v>
      </c>
      <c r="E1" s="1" t="s">
        <v>200</v>
      </c>
      <c r="F1" s="1" t="s">
        <v>54</v>
      </c>
      <c r="G1" s="1" t="s">
        <v>201</v>
      </c>
      <c r="H1" s="1" t="s">
        <v>202</v>
      </c>
      <c r="I1" s="1" t="s">
        <v>203</v>
      </c>
      <c r="J1" s="1" t="s">
        <v>396</v>
      </c>
      <c r="K1" s="1" t="s">
        <v>397</v>
      </c>
      <c r="L1" s="1" t="s">
        <v>398</v>
      </c>
      <c r="M1" s="1" t="s">
        <v>399</v>
      </c>
    </row>
    <row r="2" spans="1:13" ht="27.75" customHeight="1" x14ac:dyDescent="0.45">
      <c r="A2" s="13" t="s">
        <v>497</v>
      </c>
      <c r="B2" s="13" t="s">
        <v>498</v>
      </c>
      <c r="C2" s="13" t="s">
        <v>442</v>
      </c>
      <c r="D2" s="13" t="s">
        <v>56</v>
      </c>
      <c r="E2" s="14" t="s">
        <v>441</v>
      </c>
      <c r="F2" s="14" t="s">
        <v>447</v>
      </c>
      <c r="G2" s="13" t="s">
        <v>499</v>
      </c>
      <c r="H2" s="14" t="s">
        <v>500</v>
      </c>
      <c r="I2" s="13"/>
      <c r="J2" s="13"/>
      <c r="K2" s="13" t="s">
        <v>501</v>
      </c>
      <c r="L2" s="13" t="s">
        <v>446</v>
      </c>
      <c r="M2" s="13" t="s">
        <v>502</v>
      </c>
    </row>
    <row r="3" spans="1:13" ht="27.75" customHeight="1" x14ac:dyDescent="0.45">
      <c r="A3" s="13" t="s">
        <v>503</v>
      </c>
      <c r="B3" s="13" t="s">
        <v>504</v>
      </c>
      <c r="C3" s="13" t="s">
        <v>442</v>
      </c>
      <c r="D3" s="13" t="s">
        <v>56</v>
      </c>
      <c r="E3" s="14" t="s">
        <v>441</v>
      </c>
      <c r="F3" s="14" t="s">
        <v>464</v>
      </c>
      <c r="G3" s="13" t="s">
        <v>499</v>
      </c>
      <c r="H3" s="14" t="s">
        <v>500</v>
      </c>
      <c r="I3" s="13"/>
      <c r="J3" s="13"/>
      <c r="K3" s="13"/>
      <c r="L3" s="13" t="s">
        <v>505</v>
      </c>
      <c r="M3" s="13" t="s">
        <v>506</v>
      </c>
    </row>
    <row r="4" spans="1:13" ht="27.75" customHeight="1" x14ac:dyDescent="0.45">
      <c r="A4" s="13" t="s">
        <v>507</v>
      </c>
      <c r="B4" s="13" t="s">
        <v>227</v>
      </c>
      <c r="C4" s="13" t="s">
        <v>448</v>
      </c>
      <c r="D4" s="13" t="s">
        <v>56</v>
      </c>
      <c r="E4" s="14" t="s">
        <v>441</v>
      </c>
      <c r="F4" s="14" t="s">
        <v>447</v>
      </c>
      <c r="G4" s="13"/>
      <c r="H4" s="14" t="s">
        <v>508</v>
      </c>
      <c r="I4" s="13"/>
      <c r="J4" s="13"/>
      <c r="K4" s="13"/>
      <c r="L4" s="13" t="s">
        <v>509</v>
      </c>
      <c r="M4" s="13" t="s">
        <v>510</v>
      </c>
    </row>
    <row r="5" spans="1:13" ht="27.75" customHeight="1" x14ac:dyDescent="0.45">
      <c r="A5" s="13" t="s">
        <v>511</v>
      </c>
      <c r="B5" s="13" t="s">
        <v>227</v>
      </c>
      <c r="C5" s="13" t="s">
        <v>448</v>
      </c>
      <c r="D5" s="13" t="s">
        <v>56</v>
      </c>
      <c r="E5" s="14" t="s">
        <v>441</v>
      </c>
      <c r="F5" s="14" t="s">
        <v>464</v>
      </c>
      <c r="G5" s="13"/>
      <c r="H5" s="14" t="s">
        <v>508</v>
      </c>
      <c r="I5" s="13"/>
      <c r="J5" s="13"/>
      <c r="K5" s="13"/>
      <c r="L5" s="13" t="s">
        <v>512</v>
      </c>
      <c r="M5" s="13" t="s">
        <v>513</v>
      </c>
    </row>
    <row r="6" spans="1:13" ht="27.75" customHeight="1" x14ac:dyDescent="0.45">
      <c r="A6" s="13" t="s">
        <v>514</v>
      </c>
      <c r="B6" s="13" t="s">
        <v>222</v>
      </c>
      <c r="C6" s="13" t="s">
        <v>448</v>
      </c>
      <c r="D6" s="13" t="s">
        <v>56</v>
      </c>
      <c r="E6" s="14" t="s">
        <v>441</v>
      </c>
      <c r="F6" s="14" t="s">
        <v>464</v>
      </c>
      <c r="G6" s="13"/>
      <c r="H6" s="14" t="s">
        <v>508</v>
      </c>
      <c r="I6" s="13"/>
      <c r="J6" s="13"/>
      <c r="K6" s="13"/>
      <c r="L6" s="13" t="s">
        <v>515</v>
      </c>
      <c r="M6" s="13" t="s">
        <v>516</v>
      </c>
    </row>
    <row r="7" spans="1:13" ht="27.75" customHeight="1" x14ac:dyDescent="0.45">
      <c r="A7" s="13" t="s">
        <v>517</v>
      </c>
      <c r="B7" s="13" t="s">
        <v>498</v>
      </c>
      <c r="C7" s="13" t="s">
        <v>452</v>
      </c>
      <c r="D7" s="13" t="s">
        <v>56</v>
      </c>
      <c r="E7" s="14" t="s">
        <v>441</v>
      </c>
      <c r="F7" s="14" t="s">
        <v>447</v>
      </c>
      <c r="G7" s="13"/>
      <c r="H7" s="14" t="s">
        <v>508</v>
      </c>
      <c r="I7" s="13"/>
      <c r="J7" s="13"/>
      <c r="K7" s="13"/>
      <c r="L7" s="13" t="s">
        <v>518</v>
      </c>
      <c r="M7" s="13" t="s">
        <v>519</v>
      </c>
    </row>
    <row r="8" spans="1:13" ht="27.75" customHeight="1" x14ac:dyDescent="0.45">
      <c r="A8" s="13" t="s">
        <v>520</v>
      </c>
      <c r="B8" s="13" t="s">
        <v>521</v>
      </c>
      <c r="C8" s="13" t="s">
        <v>452</v>
      </c>
      <c r="D8" s="13" t="s">
        <v>56</v>
      </c>
      <c r="E8" s="14" t="s">
        <v>441</v>
      </c>
      <c r="F8" s="14" t="s">
        <v>447</v>
      </c>
      <c r="G8" s="13"/>
      <c r="H8" s="14" t="s">
        <v>508</v>
      </c>
      <c r="I8" s="13"/>
      <c r="J8" s="13"/>
      <c r="K8" s="13"/>
      <c r="L8" s="13" t="s">
        <v>522</v>
      </c>
      <c r="M8" s="13" t="s">
        <v>523</v>
      </c>
    </row>
    <row r="9" spans="1:13" ht="27.75" customHeight="1" x14ac:dyDescent="0.45">
      <c r="A9" s="13" t="s">
        <v>524</v>
      </c>
      <c r="B9" s="13" t="s">
        <v>525</v>
      </c>
      <c r="C9" s="13" t="s">
        <v>456</v>
      </c>
      <c r="D9" s="13" t="s">
        <v>56</v>
      </c>
      <c r="E9" s="14" t="s">
        <v>441</v>
      </c>
      <c r="F9" s="14" t="s">
        <v>447</v>
      </c>
      <c r="G9" s="13"/>
      <c r="H9" s="14" t="s">
        <v>508</v>
      </c>
      <c r="I9" s="13"/>
      <c r="J9" s="13" t="s">
        <v>458</v>
      </c>
      <c r="K9" s="13"/>
      <c r="L9" s="13" t="s">
        <v>459</v>
      </c>
      <c r="M9" s="13" t="s">
        <v>526</v>
      </c>
    </row>
    <row r="10" spans="1:13" ht="27.75" customHeight="1" x14ac:dyDescent="0.45">
      <c r="A10" s="13" t="s">
        <v>527</v>
      </c>
      <c r="B10" s="13" t="s">
        <v>498</v>
      </c>
      <c r="C10" s="13" t="s">
        <v>465</v>
      </c>
      <c r="D10" s="13" t="s">
        <v>56</v>
      </c>
      <c r="E10" s="14" t="s">
        <v>441</v>
      </c>
      <c r="F10" s="14" t="s">
        <v>464</v>
      </c>
      <c r="G10" s="13"/>
      <c r="H10" s="14" t="s">
        <v>508</v>
      </c>
      <c r="I10" s="13"/>
      <c r="J10" s="13" t="s">
        <v>317</v>
      </c>
      <c r="K10" s="13"/>
      <c r="L10" s="13" t="s">
        <v>468</v>
      </c>
      <c r="M10" s="13" t="s">
        <v>528</v>
      </c>
    </row>
    <row r="11" spans="1:13" ht="27.75" customHeight="1" x14ac:dyDescent="0.45">
      <c r="A11" s="13" t="s">
        <v>529</v>
      </c>
      <c r="B11" s="13" t="s">
        <v>227</v>
      </c>
      <c r="C11" s="13" t="s">
        <v>460</v>
      </c>
      <c r="D11" s="13" t="s">
        <v>56</v>
      </c>
      <c r="E11" s="14" t="s">
        <v>441</v>
      </c>
      <c r="F11" s="14" t="s">
        <v>447</v>
      </c>
      <c r="G11" s="13" t="s">
        <v>530</v>
      </c>
      <c r="H11" s="14" t="s">
        <v>217</v>
      </c>
      <c r="I11" s="13"/>
      <c r="J11" s="13" t="s">
        <v>531</v>
      </c>
      <c r="K11" s="13"/>
      <c r="L11" s="13" t="s">
        <v>532</v>
      </c>
      <c r="M11" s="13" t="s">
        <v>533</v>
      </c>
    </row>
    <row r="12" spans="1:13" ht="27.75" customHeight="1" x14ac:dyDescent="0.45">
      <c r="A12" s="13" t="s">
        <v>534</v>
      </c>
      <c r="B12" s="13" t="s">
        <v>227</v>
      </c>
      <c r="C12" s="13" t="s">
        <v>460</v>
      </c>
      <c r="D12" s="13" t="s">
        <v>56</v>
      </c>
      <c r="E12" s="14" t="s">
        <v>441</v>
      </c>
      <c r="F12" s="14" t="s">
        <v>464</v>
      </c>
      <c r="G12" s="13" t="s">
        <v>535</v>
      </c>
      <c r="H12" s="14" t="s">
        <v>217</v>
      </c>
      <c r="I12" s="13"/>
      <c r="J12" s="13" t="s">
        <v>531</v>
      </c>
      <c r="K12" s="13"/>
      <c r="L12" s="13" t="s">
        <v>536</v>
      </c>
      <c r="M12" s="13" t="s">
        <v>537</v>
      </c>
    </row>
    <row r="13" spans="1:13" ht="27.75" customHeight="1" x14ac:dyDescent="0.45">
      <c r="A13" s="11" t="s">
        <v>434</v>
      </c>
      <c r="B13" s="11" t="s">
        <v>538</v>
      </c>
      <c r="C13" s="11" t="s">
        <v>132</v>
      </c>
      <c r="D13" s="11" t="s">
        <v>110</v>
      </c>
      <c r="E13" s="12" t="s">
        <v>469</v>
      </c>
      <c r="F13" s="12" t="s">
        <v>447</v>
      </c>
      <c r="G13" s="11"/>
      <c r="H13" s="12" t="s">
        <v>508</v>
      </c>
      <c r="I13" s="11"/>
      <c r="J13" s="11" t="s">
        <v>476</v>
      </c>
      <c r="K13" s="11"/>
      <c r="L13" s="11" t="s">
        <v>539</v>
      </c>
      <c r="M13" s="11" t="s">
        <v>540</v>
      </c>
    </row>
    <row r="14" spans="1:13" ht="27.75" customHeight="1" x14ac:dyDescent="0.45">
      <c r="A14" s="11" t="s">
        <v>420</v>
      </c>
      <c r="B14" s="11" t="s">
        <v>541</v>
      </c>
      <c r="C14" s="11" t="s">
        <v>144</v>
      </c>
      <c r="D14" s="11" t="s">
        <v>110</v>
      </c>
      <c r="E14" s="12" t="s">
        <v>469</v>
      </c>
      <c r="F14" s="12" t="s">
        <v>447</v>
      </c>
      <c r="G14" s="11"/>
      <c r="H14" s="12" t="s">
        <v>508</v>
      </c>
      <c r="I14" s="11"/>
      <c r="J14" s="11" t="s">
        <v>478</v>
      </c>
      <c r="K14" s="11"/>
      <c r="L14" s="11" t="s">
        <v>150</v>
      </c>
      <c r="M14" s="11" t="s">
        <v>542</v>
      </c>
    </row>
    <row r="15" spans="1:13" ht="27.75" customHeight="1" x14ac:dyDescent="0.45">
      <c r="A15" s="11" t="s">
        <v>266</v>
      </c>
      <c r="B15" s="11" t="s">
        <v>267</v>
      </c>
      <c r="C15" s="11" t="s">
        <v>164</v>
      </c>
      <c r="D15" s="11" t="s">
        <v>110</v>
      </c>
      <c r="E15" s="12" t="s">
        <v>469</v>
      </c>
      <c r="F15" s="12" t="s">
        <v>447</v>
      </c>
      <c r="G15" s="11"/>
      <c r="H15" s="12" t="s">
        <v>508</v>
      </c>
      <c r="I15" s="11"/>
      <c r="J15" s="11" t="s">
        <v>481</v>
      </c>
      <c r="K15" s="11"/>
      <c r="L15" s="11" t="s">
        <v>543</v>
      </c>
      <c r="M15" s="11" t="s">
        <v>544</v>
      </c>
    </row>
    <row r="16" spans="1:13" ht="27.75" customHeight="1" x14ac:dyDescent="0.45">
      <c r="A16" s="11" t="s">
        <v>260</v>
      </c>
      <c r="B16" s="11" t="s">
        <v>545</v>
      </c>
      <c r="C16" s="11" t="s">
        <v>125</v>
      </c>
      <c r="D16" s="11" t="s">
        <v>110</v>
      </c>
      <c r="E16" s="12" t="s">
        <v>469</v>
      </c>
      <c r="F16" s="12" t="s">
        <v>447</v>
      </c>
      <c r="G16" s="11"/>
      <c r="H16" s="12" t="s">
        <v>508</v>
      </c>
      <c r="I16" s="11"/>
      <c r="J16" s="11" t="s">
        <v>483</v>
      </c>
      <c r="K16" s="11"/>
      <c r="L16" s="11" t="s">
        <v>484</v>
      </c>
      <c r="M16" s="11" t="s">
        <v>546</v>
      </c>
    </row>
    <row r="17" spans="1:13" ht="27.75" customHeight="1" x14ac:dyDescent="0.45">
      <c r="A17" s="11" t="s">
        <v>248</v>
      </c>
      <c r="B17" s="11" t="s">
        <v>249</v>
      </c>
      <c r="C17" s="11" t="s">
        <v>485</v>
      </c>
      <c r="D17" s="11" t="s">
        <v>110</v>
      </c>
      <c r="E17" s="12" t="s">
        <v>469</v>
      </c>
      <c r="F17" s="12" t="s">
        <v>447</v>
      </c>
      <c r="G17" s="11"/>
      <c r="H17" s="12" t="s">
        <v>508</v>
      </c>
      <c r="I17" s="11"/>
      <c r="J17" s="11" t="s">
        <v>252</v>
      </c>
      <c r="K17" s="11"/>
      <c r="L17" s="11" t="s">
        <v>123</v>
      </c>
      <c r="M17" s="11" t="s">
        <v>547</v>
      </c>
    </row>
    <row r="18" spans="1:13" ht="27.75" customHeight="1" x14ac:dyDescent="0.45">
      <c r="A18" s="11" t="s">
        <v>209</v>
      </c>
      <c r="B18" s="11" t="s">
        <v>498</v>
      </c>
      <c r="C18" s="11" t="s">
        <v>68</v>
      </c>
      <c r="D18" s="11" t="s">
        <v>110</v>
      </c>
      <c r="E18" s="12" t="s">
        <v>493</v>
      </c>
      <c r="F18" s="12" t="s">
        <v>447</v>
      </c>
      <c r="G18" s="11"/>
      <c r="H18" s="12" t="s">
        <v>508</v>
      </c>
      <c r="I18" s="11"/>
      <c r="J18" s="11" t="s">
        <v>70</v>
      </c>
      <c r="K18" s="11"/>
      <c r="L18" s="11" t="s">
        <v>75</v>
      </c>
      <c r="M18" s="11" t="s">
        <v>548</v>
      </c>
    </row>
    <row r="19" spans="1:13" ht="27.75" customHeight="1" x14ac:dyDescent="0.45">
      <c r="A19" s="11" t="s">
        <v>549</v>
      </c>
      <c r="B19" s="11" t="s">
        <v>550</v>
      </c>
      <c r="C19" s="11" t="s">
        <v>68</v>
      </c>
      <c r="D19" s="11" t="s">
        <v>110</v>
      </c>
      <c r="E19" s="12" t="s">
        <v>493</v>
      </c>
      <c r="F19" s="12" t="s">
        <v>464</v>
      </c>
      <c r="G19" s="11"/>
      <c r="H19" s="12" t="s">
        <v>508</v>
      </c>
      <c r="I19" s="11"/>
      <c r="J19" s="11" t="s">
        <v>70</v>
      </c>
      <c r="K19" s="11"/>
      <c r="L19" s="11" t="s">
        <v>551</v>
      </c>
      <c r="M19" s="11" t="s">
        <v>552</v>
      </c>
    </row>
    <row r="20" spans="1:13" ht="27.75" customHeight="1" x14ac:dyDescent="0.45">
      <c r="A20" s="11" t="s">
        <v>553</v>
      </c>
      <c r="B20" s="11" t="s">
        <v>545</v>
      </c>
      <c r="C20" s="11" t="s">
        <v>102</v>
      </c>
      <c r="D20" s="11" t="s">
        <v>110</v>
      </c>
      <c r="E20" s="12" t="s">
        <v>469</v>
      </c>
      <c r="F20" s="12" t="s">
        <v>447</v>
      </c>
      <c r="G20" s="11"/>
      <c r="H20" s="12" t="s">
        <v>508</v>
      </c>
      <c r="I20" s="11"/>
      <c r="J20" s="11" t="s">
        <v>470</v>
      </c>
      <c r="K20" s="11"/>
      <c r="L20" s="11" t="s">
        <v>554</v>
      </c>
      <c r="M20" s="11" t="s">
        <v>555</v>
      </c>
    </row>
    <row r="21" spans="1:13" ht="27.75" customHeight="1" x14ac:dyDescent="0.45">
      <c r="A21" s="11" t="s">
        <v>556</v>
      </c>
      <c r="B21" s="11" t="s">
        <v>222</v>
      </c>
      <c r="C21" s="11" t="s">
        <v>102</v>
      </c>
      <c r="D21" s="11" t="s">
        <v>110</v>
      </c>
      <c r="E21" s="12" t="s">
        <v>469</v>
      </c>
      <c r="F21" s="12" t="s">
        <v>464</v>
      </c>
      <c r="G21" s="11"/>
      <c r="H21" s="12" t="s">
        <v>508</v>
      </c>
      <c r="I21" s="11"/>
      <c r="J21" s="11" t="s">
        <v>470</v>
      </c>
      <c r="K21" s="11"/>
      <c r="L21" s="11" t="s">
        <v>557</v>
      </c>
      <c r="M21" s="11" t="s">
        <v>558</v>
      </c>
    </row>
    <row r="22" spans="1:13" ht="27.75" customHeight="1" x14ac:dyDescent="0.45">
      <c r="A22" s="11" t="s">
        <v>559</v>
      </c>
      <c r="B22" s="11" t="s">
        <v>560</v>
      </c>
      <c r="C22" s="11" t="s">
        <v>102</v>
      </c>
      <c r="D22" s="11" t="s">
        <v>110</v>
      </c>
      <c r="E22" s="12" t="s">
        <v>469</v>
      </c>
      <c r="F22" s="12" t="s">
        <v>464</v>
      </c>
      <c r="G22" s="11"/>
      <c r="H22" s="12" t="s">
        <v>508</v>
      </c>
      <c r="I22" s="11"/>
      <c r="J22" s="11" t="s">
        <v>470</v>
      </c>
      <c r="K22" s="11"/>
      <c r="L22" s="11" t="s">
        <v>561</v>
      </c>
      <c r="M22" s="11" t="s">
        <v>562</v>
      </c>
    </row>
    <row r="23" spans="1:13" ht="27.75" customHeight="1" x14ac:dyDescent="0.45">
      <c r="A23" s="11" t="s">
        <v>563</v>
      </c>
      <c r="B23" s="11" t="s">
        <v>564</v>
      </c>
      <c r="C23" s="11" t="s">
        <v>158</v>
      </c>
      <c r="D23" s="11" t="s">
        <v>110</v>
      </c>
      <c r="E23" s="12" t="s">
        <v>469</v>
      </c>
      <c r="F23" s="12" t="s">
        <v>447</v>
      </c>
      <c r="G23" s="11"/>
      <c r="H23" s="12" t="s">
        <v>508</v>
      </c>
      <c r="I23" s="11"/>
      <c r="J23" s="11" t="s">
        <v>479</v>
      </c>
      <c r="K23" s="11"/>
      <c r="L23" s="11" t="s">
        <v>565</v>
      </c>
      <c r="M23" s="11" t="s">
        <v>566</v>
      </c>
    </row>
    <row r="24" spans="1:13" ht="27.75" customHeight="1" x14ac:dyDescent="0.45">
      <c r="A24" s="11" t="s">
        <v>567</v>
      </c>
      <c r="B24" s="11" t="s">
        <v>568</v>
      </c>
      <c r="C24" s="11" t="s">
        <v>158</v>
      </c>
      <c r="D24" s="11" t="s">
        <v>110</v>
      </c>
      <c r="E24" s="12" t="s">
        <v>469</v>
      </c>
      <c r="F24" s="12" t="s">
        <v>447</v>
      </c>
      <c r="G24" s="11"/>
      <c r="H24" s="12" t="s">
        <v>508</v>
      </c>
      <c r="I24" s="11"/>
      <c r="J24" s="11" t="s">
        <v>479</v>
      </c>
      <c r="K24" s="11"/>
      <c r="L24" s="11" t="s">
        <v>569</v>
      </c>
      <c r="M24" s="11" t="s">
        <v>570</v>
      </c>
    </row>
    <row r="25" spans="1:13" ht="27.75" customHeight="1" x14ac:dyDescent="0.45">
      <c r="A25" s="11" t="s">
        <v>257</v>
      </c>
      <c r="B25" s="11" t="s">
        <v>222</v>
      </c>
      <c r="C25" s="11" t="s">
        <v>152</v>
      </c>
      <c r="D25" s="11" t="s">
        <v>110</v>
      </c>
      <c r="E25" s="12" t="s">
        <v>469</v>
      </c>
      <c r="F25" s="12" t="s">
        <v>447</v>
      </c>
      <c r="G25" s="11" t="s">
        <v>259</v>
      </c>
      <c r="H25" s="12" t="s">
        <v>217</v>
      </c>
      <c r="I25" s="11"/>
      <c r="J25" s="11" t="s">
        <v>489</v>
      </c>
      <c r="K25" s="11"/>
      <c r="L25" s="11" t="s">
        <v>571</v>
      </c>
      <c r="M25" s="11" t="s">
        <v>572</v>
      </c>
    </row>
    <row r="26" spans="1:13" ht="27.75" customHeight="1" x14ac:dyDescent="0.45">
      <c r="A26" s="11" t="s">
        <v>286</v>
      </c>
      <c r="B26" s="11" t="s">
        <v>287</v>
      </c>
      <c r="C26" s="11" t="s">
        <v>182</v>
      </c>
      <c r="D26" s="11" t="s">
        <v>110</v>
      </c>
      <c r="E26" s="12" t="s">
        <v>469</v>
      </c>
      <c r="F26" s="12" t="s">
        <v>447</v>
      </c>
      <c r="G26" s="11"/>
      <c r="H26" s="12" t="s">
        <v>508</v>
      </c>
      <c r="I26" s="11"/>
      <c r="J26" s="11" t="s">
        <v>487</v>
      </c>
      <c r="K26" s="11"/>
      <c r="L26" s="11" t="s">
        <v>573</v>
      </c>
      <c r="M26" s="11" t="s">
        <v>574</v>
      </c>
    </row>
    <row r="27" spans="1:13" ht="27.75" customHeight="1" x14ac:dyDescent="0.45">
      <c r="A27" s="11" t="s">
        <v>575</v>
      </c>
      <c r="B27" s="11" t="s">
        <v>287</v>
      </c>
      <c r="C27" s="11" t="s">
        <v>182</v>
      </c>
      <c r="D27" s="11" t="s">
        <v>110</v>
      </c>
      <c r="E27" s="12" t="s">
        <v>469</v>
      </c>
      <c r="F27" s="12" t="s">
        <v>464</v>
      </c>
      <c r="G27" s="11"/>
      <c r="H27" s="12" t="s">
        <v>508</v>
      </c>
      <c r="I27" s="11"/>
      <c r="J27" s="11" t="s">
        <v>487</v>
      </c>
      <c r="K27" s="11"/>
      <c r="L27" s="11" t="s">
        <v>576</v>
      </c>
      <c r="M27" s="11" t="s">
        <v>577</v>
      </c>
    </row>
    <row r="28" spans="1:13" ht="27.75" customHeight="1" x14ac:dyDescent="0.45">
      <c r="A28" s="11" t="s">
        <v>578</v>
      </c>
      <c r="B28" s="11" t="s">
        <v>579</v>
      </c>
      <c r="C28" s="11" t="s">
        <v>170</v>
      </c>
      <c r="D28" s="11" t="s">
        <v>110</v>
      </c>
      <c r="E28" s="12" t="s">
        <v>469</v>
      </c>
      <c r="F28" s="12" t="s">
        <v>447</v>
      </c>
      <c r="G28" s="11"/>
      <c r="H28" s="12" t="s">
        <v>508</v>
      </c>
      <c r="I28" s="11"/>
      <c r="J28" s="11" t="s">
        <v>491</v>
      </c>
      <c r="K28" s="11"/>
      <c r="L28" s="11" t="s">
        <v>580</v>
      </c>
      <c r="M28" s="11" t="s">
        <v>581</v>
      </c>
    </row>
    <row r="29" spans="1:13" ht="27.75" customHeight="1" x14ac:dyDescent="0.45">
      <c r="A29" s="11" t="s">
        <v>582</v>
      </c>
      <c r="B29" s="11" t="s">
        <v>579</v>
      </c>
      <c r="C29" s="11" t="s">
        <v>170</v>
      </c>
      <c r="D29" s="11" t="s">
        <v>110</v>
      </c>
      <c r="E29" s="12" t="s">
        <v>469</v>
      </c>
      <c r="F29" s="12" t="s">
        <v>447</v>
      </c>
      <c r="G29" s="11"/>
      <c r="H29" s="12" t="s">
        <v>508</v>
      </c>
      <c r="I29" s="11"/>
      <c r="J29" s="11" t="s">
        <v>491</v>
      </c>
      <c r="K29" s="11"/>
      <c r="L29" s="11" t="s">
        <v>583</v>
      </c>
      <c r="M29" s="11" t="s">
        <v>584</v>
      </c>
    </row>
    <row r="30" spans="1:13" ht="27.75" customHeight="1" x14ac:dyDescent="0.45">
      <c r="A30" s="11" t="s">
        <v>428</v>
      </c>
      <c r="B30" s="11" t="s">
        <v>585</v>
      </c>
      <c r="C30" s="11" t="s">
        <v>356</v>
      </c>
      <c r="D30" s="11" t="s">
        <v>110</v>
      </c>
      <c r="E30" s="12" t="s">
        <v>469</v>
      </c>
      <c r="F30" s="12" t="s">
        <v>447</v>
      </c>
      <c r="G30" s="11"/>
      <c r="H30" s="12" t="s">
        <v>508</v>
      </c>
      <c r="I30" s="11"/>
      <c r="J30" s="11" t="s">
        <v>492</v>
      </c>
      <c r="K30" s="11"/>
      <c r="L30" s="11" t="s">
        <v>586</v>
      </c>
      <c r="M30" s="11" t="s">
        <v>587</v>
      </c>
    </row>
    <row r="31" spans="1:13" ht="27.75" customHeight="1" x14ac:dyDescent="0.45">
      <c r="A31" s="11" t="s">
        <v>588</v>
      </c>
      <c r="B31" s="11" t="s">
        <v>589</v>
      </c>
      <c r="C31" s="11" t="s">
        <v>356</v>
      </c>
      <c r="D31" s="11" t="s">
        <v>110</v>
      </c>
      <c r="E31" s="12" t="s">
        <v>469</v>
      </c>
      <c r="F31" s="12" t="s">
        <v>464</v>
      </c>
      <c r="G31" s="11"/>
      <c r="H31" s="12" t="s">
        <v>508</v>
      </c>
      <c r="I31" s="11"/>
      <c r="J31" s="11" t="s">
        <v>492</v>
      </c>
      <c r="K31" s="11"/>
      <c r="L31" s="11" t="s">
        <v>590</v>
      </c>
      <c r="M31" s="11" t="s">
        <v>591</v>
      </c>
    </row>
    <row r="32" spans="1:13" ht="27.75" customHeight="1" x14ac:dyDescent="0.45">
      <c r="A32" s="11" t="s">
        <v>592</v>
      </c>
      <c r="B32" s="11" t="s">
        <v>227</v>
      </c>
      <c r="C32" s="11" t="s">
        <v>138</v>
      </c>
      <c r="D32" s="11" t="s">
        <v>110</v>
      </c>
      <c r="E32" s="12" t="s">
        <v>493</v>
      </c>
      <c r="F32" s="12" t="s">
        <v>447</v>
      </c>
      <c r="G32" s="11"/>
      <c r="H32" s="12" t="s">
        <v>508</v>
      </c>
      <c r="I32" s="11"/>
      <c r="J32" s="11" t="s">
        <v>593</v>
      </c>
      <c r="K32" s="11"/>
      <c r="L32" s="11" t="s">
        <v>594</v>
      </c>
      <c r="M32" s="11" t="s">
        <v>595</v>
      </c>
    </row>
    <row r="33" spans="1:13" ht="27.75" customHeight="1" x14ac:dyDescent="0.45">
      <c r="A33" s="11" t="s">
        <v>596</v>
      </c>
      <c r="B33" s="11" t="s">
        <v>597</v>
      </c>
      <c r="C33" s="11" t="s">
        <v>111</v>
      </c>
      <c r="D33" s="11" t="s">
        <v>110</v>
      </c>
      <c r="E33" s="12" t="s">
        <v>469</v>
      </c>
      <c r="F33" s="12" t="s">
        <v>464</v>
      </c>
      <c r="G33" s="11"/>
      <c r="H33" s="12" t="s">
        <v>508</v>
      </c>
      <c r="I33" s="11"/>
      <c r="J33" s="11" t="s">
        <v>474</v>
      </c>
      <c r="K33" s="11"/>
      <c r="L33" s="11" t="s">
        <v>598</v>
      </c>
      <c r="M33" s="11" t="s">
        <v>599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&amp; Summary</vt:lpstr>
      <vt:lpstr>North &amp; West TX - Firms</vt:lpstr>
      <vt:lpstr>North &amp; West TX - Contacts</vt:lpstr>
      <vt:lpstr>Central &amp; South TX - Firms</vt:lpstr>
      <vt:lpstr>Central &amp; South TX - Contacts</vt:lpstr>
      <vt:lpstr>Gulf Coast &amp; East TX - Firms</vt:lpstr>
      <vt:lpstr>Gulf Coast &amp; East TX -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Weiss</cp:lastModifiedBy>
  <cp:revision>0</cp:revision>
  <dcterms:created xsi:type="dcterms:W3CDTF">2025-12-15T05:27:25Z</dcterms:created>
  <dcterms:modified xsi:type="dcterms:W3CDTF">2025-12-15T14:28:50Z</dcterms:modified>
  <dc:language>en-US</dc:language>
</cp:coreProperties>
</file>
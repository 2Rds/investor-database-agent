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an Weiss\Desktop\BlockDrive\Lead Lists\"/>
    </mc:Choice>
  </mc:AlternateContent>
  <xr:revisionPtr revIDLastSave="0" documentId="8_{B44AC52D-26B7-499C-8163-52B3D4BACC60}" xr6:coauthVersionLast="47" xr6:coauthVersionMax="47" xr10:uidLastSave="{00000000-0000-0000-0000-000000000000}"/>
  <bookViews>
    <workbookView xWindow="-98" yWindow="-98" windowWidth="21795" windowHeight="12975" firstSheet="3" activeTab="5" xr2:uid="{00000000-000D-0000-FFFF-FFFF00000000}"/>
  </bookViews>
  <sheets>
    <sheet name="Overview &amp; Summary" sheetId="1" r:id="rId1"/>
    <sheet name="South Florida - Firms" sheetId="2" r:id="rId2"/>
    <sheet name="South Florida - Contacts" sheetId="3" r:id="rId3"/>
    <sheet name="Central Florida - Firms" sheetId="4" r:id="rId4"/>
    <sheet name="Central Florida - Contacts" sheetId="5" r:id="rId5"/>
    <sheet name="North Florida - Firms" sheetId="6" r:id="rId6"/>
    <sheet name="North Florida - Contac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E9" i="1"/>
  <c r="D9" i="1"/>
  <c r="C9" i="1"/>
  <c r="B9" i="1" s="1"/>
  <c r="E8" i="1"/>
  <c r="D8" i="1"/>
  <c r="C8" i="1"/>
  <c r="B8" i="1"/>
  <c r="E7" i="1"/>
  <c r="D7" i="1"/>
  <c r="C7" i="1"/>
  <c r="B7" i="1"/>
  <c r="B10" i="1" l="1"/>
</calcChain>
</file>

<file path=xl/sharedStrings.xml><?xml version="1.0" encoding="utf-8"?>
<sst xmlns="http://schemas.openxmlformats.org/spreadsheetml/2006/main" count="822" uniqueCount="355">
  <si>
    <t>BlockDrive - Florida Crypto/Blockchain Law Firms Lead List</t>
  </si>
  <si>
    <t>Complete Lead Generation &amp; Prioritization System</t>
  </si>
  <si>
    <t>Last Updated: December 2025</t>
  </si>
  <si>
    <t>SUMMARY STATISTICS</t>
  </si>
  <si>
    <t>Region</t>
  </si>
  <si>
    <t>Total Firms</t>
  </si>
  <si>
    <t>Specialty Firms</t>
  </si>
  <si>
    <t>General w/ Crypto</t>
  </si>
  <si>
    <t>Contacts</t>
  </si>
  <si>
    <t>South Florida</t>
  </si>
  <si>
    <t>Central Florida</t>
  </si>
  <si>
    <t>North Florida</t>
  </si>
  <si>
    <t>TOTAL</t>
  </si>
  <si>
    <t>TERRITORY OVERVIEW</t>
  </si>
  <si>
    <t>Anchor Hub</t>
  </si>
  <si>
    <t>Key Metros</t>
  </si>
  <si>
    <t>Industry Mix</t>
  </si>
  <si>
    <t>Primary Pitch</t>
  </si>
  <si>
    <t>1. South Florida</t>
  </si>
  <si>
    <t>Miami</t>
  </si>
  <si>
    <t>Miami, Ft. Lauderdale, West Palm Beach</t>
  </si>
  <si>
    <t>Wealth, LatAm Finance</t>
  </si>
  <si>
    <t>Capital &amp; Scale</t>
  </si>
  <si>
    <t>2. Central Florida</t>
  </si>
  <si>
    <t>Orlando</t>
  </si>
  <si>
    <t>Orlando, Tampa, Space Coast</t>
  </si>
  <si>
    <t>Gaming, Cybersecurity</t>
  </si>
  <si>
    <t>Tech Utility</t>
  </si>
  <si>
    <t>3. North Florida</t>
  </si>
  <si>
    <t>Jacksonville</t>
  </si>
  <si>
    <t>Jacksonville, Tallahassee</t>
  </si>
  <si>
    <t>GovTech, Logistics</t>
  </si>
  <si>
    <t>Compliance</t>
  </si>
  <si>
    <t>PRIORITY KEY</t>
  </si>
  <si>
    <t>HIGH PRIORITY - Crypto/Blockchain specialty firms with deep industry expertise</t>
  </si>
  <si>
    <t>MEDIUM PRIORITY - Large firms with established crypto capabilities</t>
  </si>
  <si>
    <t>TOP TIER - AmLaw 100/200 firms with strong technology practices</t>
  </si>
  <si>
    <t>DATA SOURCES</t>
  </si>
  <si>
    <t>Chambers FinTech Rankings 2024-2025</t>
  </si>
  <si>
    <t>Florida State Bar Association Directory</t>
  </si>
  <si>
    <t>Firm Websites and LinkedIn Profiles</t>
  </si>
  <si>
    <t>Legal 500 Technology Practice Rankings</t>
  </si>
  <si>
    <t>Category</t>
  </si>
  <si>
    <t>Tier</t>
  </si>
  <si>
    <t>Firm Name</t>
  </si>
  <si>
    <t>Website</t>
  </si>
  <si>
    <t>Main Phone</t>
  </si>
  <si>
    <t>Primary Location</t>
  </si>
  <si>
    <t>City</t>
  </si>
  <si>
    <t>State</t>
  </si>
  <si>
    <t>Firm Size</t>
  </si>
  <si>
    <t>Revenue Range</t>
  </si>
  <si>
    <t>Practice Focus</t>
  </si>
  <si>
    <t>Priority</t>
  </si>
  <si>
    <t>GROUP 1: CRYPTO/BLOCKCHAIN SPECIALTY FIRMS</t>
  </si>
  <si>
    <t>Specialty</t>
  </si>
  <si>
    <t>Tier 1</t>
  </si>
  <si>
    <t>The Crypto Lawyers</t>
  </si>
  <si>
    <t>thecryptolawyers.com</t>
  </si>
  <si>
    <t>Miami Beach, FL</t>
  </si>
  <si>
    <t>Miami Beach</t>
  </si>
  <si>
    <t>Florida</t>
  </si>
  <si>
    <t>1-10</t>
  </si>
  <si>
    <t>$0-$500K</t>
  </si>
  <si>
    <t>Crypto/Blockchain Law</t>
  </si>
  <si>
    <t>PRIMARY TARGET</t>
  </si>
  <si>
    <t>Malescu Law, PA</t>
  </si>
  <si>
    <t>malesculaw.com</t>
  </si>
  <si>
    <t>Miami, FL</t>
  </si>
  <si>
    <t>11-50</t>
  </si>
  <si>
    <t>$1M-$5M</t>
  </si>
  <si>
    <t>Tier 2</t>
  </si>
  <si>
    <t>Ari Good - Blockchain Lawyer</t>
  </si>
  <si>
    <t>blockchainlawyer.io</t>
  </si>
  <si>
    <t>(877) 771-1131</t>
  </si>
  <si>
    <t>HIGH PRIORITY</t>
  </si>
  <si>
    <t>Diaz Reus</t>
  </si>
  <si>
    <t>diazreus.com</t>
  </si>
  <si>
    <t>TRF Law</t>
  </si>
  <si>
    <t>trf.law</t>
  </si>
  <si>
    <t>GROUP 2: GENERAL FIRMS WITH CRYPTO/BLOCKCHAIN CAPABILITIES</t>
  </si>
  <si>
    <t>General + Crypto</t>
  </si>
  <si>
    <t>Greenberg Traurig, LLP</t>
  </si>
  <si>
    <t>https://www.gtlaw.com</t>
  </si>
  <si>
    <t>305-579-0500</t>
  </si>
  <si>
    <t>1001-5000</t>
  </si>
  <si>
    <t>$200M-$500M</t>
  </si>
  <si>
    <t>Crypto Practice Group</t>
  </si>
  <si>
    <t>HIGH PRIORITY - Enterprise</t>
  </si>
  <si>
    <t>Holland &amp; Knight LLP</t>
  </si>
  <si>
    <t>https://www.hklaw.com/</t>
  </si>
  <si>
    <t>701 Brickell Ave, Suite 3300</t>
  </si>
  <si>
    <t>FL</t>
  </si>
  <si>
    <t>Winston &amp; Strawn LLP</t>
  </si>
  <si>
    <t>winston.com</t>
  </si>
  <si>
    <t>(305) 704-7700</t>
  </si>
  <si>
    <t>200 South Biscayne Boulevard, Suite 1100, Miami, FL 33131</t>
  </si>
  <si>
    <t>500+</t>
  </si>
  <si>
    <t>$1B+</t>
  </si>
  <si>
    <t>Cole Schotz P.C. (formerly Salazar Law)</t>
  </si>
  <si>
    <t>https://www.coleschotz.com</t>
  </si>
  <si>
    <t>51-200</t>
  </si>
  <si>
    <t>$25M-$75M</t>
  </si>
  <si>
    <t>Romano Law PLLC</t>
  </si>
  <si>
    <t>romanolaw.com</t>
  </si>
  <si>
    <t>(305) 865-9848</t>
  </si>
  <si>
    <t>1441 Brickell Ave, Suite 1500, Miami, FL 33131</t>
  </si>
  <si>
    <t>$10M-$25M</t>
  </si>
  <si>
    <t>Crypto Services</t>
  </si>
  <si>
    <t>MEDIUM PRIORITY</t>
  </si>
  <si>
    <t>Markowitz Ringel Trusty + Hartog (MRTH)</t>
  </si>
  <si>
    <t>https://www.mrthlaw.com/</t>
  </si>
  <si>
    <t>9130 South Dadeland Blvd, Suite 1800</t>
  </si>
  <si>
    <t>$5M-$10M</t>
  </si>
  <si>
    <t>Tier 3</t>
  </si>
  <si>
    <t>Ohanian Law Firm</t>
  </si>
  <si>
    <t>https://www.ohanianlegal.com/</t>
  </si>
  <si>
    <t>(786) 369-5447</t>
  </si>
  <si>
    <t>267 Minorca Avenue, Suite 100</t>
  </si>
  <si>
    <t>Coral Gables</t>
  </si>
  <si>
    <t>$500K-$1M</t>
  </si>
  <si>
    <t>LOWER PRIORITY</t>
  </si>
  <si>
    <t>The Florida Divorce &amp; Criminal Defense Lawyer</t>
  </si>
  <si>
    <t>https://thepathtojustice.com/</t>
  </si>
  <si>
    <t>Dudai Legal</t>
  </si>
  <si>
    <t>https://www.dudai.legal</t>
  </si>
  <si>
    <t>Fort Lauderdale, FL</t>
  </si>
  <si>
    <t>Fort Lauderdale</t>
  </si>
  <si>
    <t>WFP Law, PA (Wild Felice &amp; Partners)</t>
  </si>
  <si>
    <t>https://wfplaw.com</t>
  </si>
  <si>
    <t>954-944-2855</t>
  </si>
  <si>
    <t>Davitian Law (Florida Criminal Defense)</t>
  </si>
  <si>
    <t>https://davitianlaw.com</t>
  </si>
  <si>
    <t>Ralph Behr Law</t>
  </si>
  <si>
    <t>ralphbehr.net</t>
  </si>
  <si>
    <t>$0-$1M</t>
  </si>
  <si>
    <t>Attorney Name</t>
  </si>
  <si>
    <t>Title</t>
  </si>
  <si>
    <t>Firm Category</t>
  </si>
  <si>
    <t>Firm Tier</t>
  </si>
  <si>
    <t>Professional Email</t>
  </si>
  <si>
    <t>Email Status</t>
  </si>
  <si>
    <t>Mobile Phone</t>
  </si>
  <si>
    <t>Office Phone</t>
  </si>
  <si>
    <t>LinkedIn Profile</t>
  </si>
  <si>
    <t>Practice Areas</t>
  </si>
  <si>
    <t>Notes</t>
  </si>
  <si>
    <t>Agustin Vazquez Ramos</t>
  </si>
  <si>
    <t>Founding Partner</t>
  </si>
  <si>
    <t>linkedin.com/in/agustin-vazquez-ramos</t>
  </si>
  <si>
    <t>Ari Good</t>
  </si>
  <si>
    <t>Principal Attorney</t>
  </si>
  <si>
    <t>(877) 771-1131 (Main)</t>
  </si>
  <si>
    <t>linkedin.com/in/ari-good</t>
  </si>
  <si>
    <t>Fernando Bohorquez Jr.</t>
  </si>
  <si>
    <t>linkedin.com/in/fernando-bohorquez</t>
  </si>
  <si>
    <t>Rodrigo Barbara</t>
  </si>
  <si>
    <t>Director of Forensics and Investigations</t>
  </si>
  <si>
    <t>linkedin.com/in/rodrigombarbara</t>
  </si>
  <si>
    <t>Alan R. Rosenberg</t>
  </si>
  <si>
    <t>Partner</t>
  </si>
  <si>
    <t>https://www.linkedin.com/in/alan-r-rosenberg-6b5b5b15</t>
  </si>
  <si>
    <t>Andrew W. Balthazor</t>
  </si>
  <si>
    <t>Attorney (Co-leads Crypto Asset Dispute Team)</t>
  </si>
  <si>
    <t>https://www.linkedin.com/in/andrewbalthazor</t>
  </si>
  <si>
    <t>Brandon Rutter</t>
  </si>
  <si>
    <t>Of Counsel</t>
  </si>
  <si>
    <t>brandon@romanolaw.com</t>
  </si>
  <si>
    <t>Verified</t>
  </si>
  <si>
    <t>linkedin.com/in/rutterbrandon</t>
  </si>
  <si>
    <t>Daniel J. Barsky</t>
  </si>
  <si>
    <t>https://www.linkedin.com/in/daniel-barsky-64548815</t>
  </si>
  <si>
    <t>Daniel T. Stabile</t>
  </si>
  <si>
    <t>linkedin.com/in/daniel-stabile</t>
  </si>
  <si>
    <t>Dennis A. González</t>
  </si>
  <si>
    <t>Attorney</t>
  </si>
  <si>
    <t>Dr. Nick Oberheiden</t>
  </si>
  <si>
    <t>Oberheiden P.C.</t>
  </si>
  <si>
    <t>To Categorize</t>
  </si>
  <si>
    <t>linkedin.com/in/nick-oberheiden</t>
  </si>
  <si>
    <t>Eric Rosen</t>
  </si>
  <si>
    <t>Dynamis LLP</t>
  </si>
  <si>
    <t>linkedin.com/in/eric-rosen-dynamis</t>
  </si>
  <si>
    <t>Josias N. Dewey</t>
  </si>
  <si>
    <t>https://www.linkedin.com/in/josiasndewey</t>
  </si>
  <si>
    <t>Libby Deshaies</t>
  </si>
  <si>
    <t>Litigation Partner</t>
  </si>
  <si>
    <t>ldeshaies@winston.com</t>
  </si>
  <si>
    <t>linkedin.com/in/libby-deshaies-017b1320</t>
  </si>
  <si>
    <t>Samir Suresh Patel</t>
  </si>
  <si>
    <t>Attorney (Leads Document Automation Program)</t>
  </si>
  <si>
    <t>Sebastian Ohanian</t>
  </si>
  <si>
    <t>Founder &amp; Principal</t>
  </si>
  <si>
    <t>Steven Peitler</t>
  </si>
  <si>
    <t>Director of Investigations</t>
  </si>
  <si>
    <t>linkedin.com/in/steven-peitler-22b8611</t>
  </si>
  <si>
    <t>Whitney Adams</t>
  </si>
  <si>
    <t>wadams@winston.com</t>
  </si>
  <si>
    <t>Catch-all</t>
  </si>
  <si>
    <t>linkedin.com/in/whitneyising</t>
  </si>
  <si>
    <t>FL Patel Law PLLC</t>
  </si>
  <si>
    <t>https://www.flpatellaw.com</t>
  </si>
  <si>
    <t>St. Petersburg, FL</t>
  </si>
  <si>
    <t>St. Petersburg</t>
  </si>
  <si>
    <t>Woodward, Kelley, Fulton &amp; Kaplan (WKFK Law)</t>
  </si>
  <si>
    <t>wkfklaw.com</t>
  </si>
  <si>
    <t>(772) 497-6544</t>
  </si>
  <si>
    <t>Stuart</t>
  </si>
  <si>
    <t>Cryptocurrency &amp; Blockchain Law, Regulatory Compliance, Tax Planning, Litigation, Smart Contracts</t>
  </si>
  <si>
    <t>Strategic counsel for crypto/blockchain ventures. Experienced in regulatory compliance, tax planning, blockchain implementation.</t>
  </si>
  <si>
    <t>Burr &amp; Forman LLP</t>
  </si>
  <si>
    <t>burr.com</t>
  </si>
  <si>
    <t>(813) 221-2626</t>
  </si>
  <si>
    <t>Tampa</t>
  </si>
  <si>
    <t>Blockchain, Cryptocurrency, Electronic Transactions, Corporate Law, Litigation</t>
  </si>
  <si>
    <t>Am Law 200 firm. One Tampa City Center, Suite 3200, 201 North Franklin Street, Tampa, FL 33602. Multi-office FL presence.</t>
  </si>
  <si>
    <t>Silver Law Group</t>
  </si>
  <si>
    <t>https://www.silverlaw.com</t>
  </si>
  <si>
    <t>Tampa / St. Petersburg, FL</t>
  </si>
  <si>
    <t>Tampa / St. Petersburg</t>
  </si>
  <si>
    <t>Trombley &amp; Hanes, P.A.</t>
  </si>
  <si>
    <t>https://www.trombleyhaneslaw.com</t>
  </si>
  <si>
    <t>813-229-7918</t>
  </si>
  <si>
    <t>Tampa, FL</t>
  </si>
  <si>
    <t>Stechschulte Nell</t>
  </si>
  <si>
    <t>https://www.tpatrialattorneys.com</t>
  </si>
  <si>
    <t>813-280-1244</t>
  </si>
  <si>
    <t>Sammis Law Firm, P.A.</t>
  </si>
  <si>
    <t>https://criminaldefenseattorneytampa.com</t>
  </si>
  <si>
    <t>813-250-0500</t>
  </si>
  <si>
    <t>Vernon Litigation Group</t>
  </si>
  <si>
    <t>https://www.vernonlitigation.com</t>
  </si>
  <si>
    <t>(239) 319-4434</t>
  </si>
  <si>
    <t>Naples, FL</t>
  </si>
  <si>
    <t>Naples</t>
  </si>
  <si>
    <t>Mortellaro Law</t>
  </si>
  <si>
    <t>https://www.mortellarolaw.com</t>
  </si>
  <si>
    <t>813-367-1500</t>
  </si>
  <si>
    <t>Kalpesh J. Patel, Esq.</t>
  </si>
  <si>
    <t>Founder &amp; Attorney</t>
  </si>
  <si>
    <t>(727) 279-5037</t>
  </si>
  <si>
    <t>Corporate law, business formations, trademark, accepts Bitcoin</t>
  </si>
  <si>
    <t>St. Petersburg-based, crypto-friendly practice</t>
  </si>
  <si>
    <t>Brandon V. Woodward, Esq.</t>
  </si>
  <si>
    <t>Managing Partner</t>
  </si>
  <si>
    <t>Crypto law, business law, corporate matters</t>
  </si>
  <si>
    <t>Stuart-based crypto specialty firm</t>
  </si>
  <si>
    <t>Craig I. Kelley</t>
  </si>
  <si>
    <t>Crypto law, business law</t>
  </si>
  <si>
    <t>Jacqueline Simms-Petredis</t>
  </si>
  <si>
    <t>Managing Partner (Tampa Office)</t>
  </si>
  <si>
    <t>Am Law 200 firm, multi-practice</t>
  </si>
  <si>
    <t>Tampa office lead; firm has blockchain/crypto practice group</t>
  </si>
  <si>
    <t>Ed Snow</t>
  </si>
  <si>
    <t>Partner (Blockchain Practice)</t>
  </si>
  <si>
    <t>PRIMARY TARGET - Crypto Lead</t>
  </si>
  <si>
    <t>Blockchain, digital assets, crypto</t>
  </si>
  <si>
    <t>Atlanta-based but leads firm's blockchain practice</t>
  </si>
  <si>
    <t>Scott L. Silver</t>
  </si>
  <si>
    <t>Securities fraud, crypto fraud recovery, FINRA arbitration</t>
  </si>
  <si>
    <t>Tampa/St. Petersburg; investor protection focus, not transactional</t>
  </si>
  <si>
    <t>Christopher T. Vernon</t>
  </si>
  <si>
    <t>Securities litigation, crypto litigation, investment fraud</t>
  </si>
  <si>
    <t>Naples-based; litigation focus</t>
  </si>
  <si>
    <t>Gary R. Trombley</t>
  </si>
  <si>
    <t>Principal Partner</t>
  </si>
  <si>
    <t>(813) 229-7918</t>
  </si>
  <si>
    <t>White collar crime, securities fraud defense, federal criminal</t>
  </si>
  <si>
    <t>Former federal prosecutor; criminal defense focus</t>
  </si>
  <si>
    <t>Ronald P. Hanes</t>
  </si>
  <si>
    <t>White collar crime, securities fraud defense</t>
  </si>
  <si>
    <t>Ben Stechschulte</t>
  </si>
  <si>
    <t>Founder (Board Certified Criminal Defense)</t>
  </si>
  <si>
    <t>(813) 280-1244</t>
  </si>
  <si>
    <t>Criminal defense, federal crimes, white collar, crypto defense</t>
  </si>
  <si>
    <t>Tampa; criminal defense specialist</t>
  </si>
  <si>
    <t>Amy Nell</t>
  </si>
  <si>
    <t>Criminal defense</t>
  </si>
  <si>
    <t>Jason D. Sammis</t>
  </si>
  <si>
    <t>Shareholder</t>
  </si>
  <si>
    <t>(813) 250-0500</t>
  </si>
  <si>
    <t>Criminal defense, DUI defense</t>
  </si>
  <si>
    <t>Tampa; exclusively criminal defense</t>
  </si>
  <si>
    <t>Michelangelo Mortellaro, Esq.</t>
  </si>
  <si>
    <t>Founding Attorney</t>
  </si>
  <si>
    <t>TO VERIFY</t>
  </si>
  <si>
    <t>(813) 367-1500</t>
  </si>
  <si>
    <t>Elder law, estate planning, asset protection</t>
  </si>
  <si>
    <t>⚠️ May be misclassified - NOT criminal/crypto practice; verify relevance</t>
  </si>
  <si>
    <t>Davis Law Firm</t>
  </si>
  <si>
    <t>davispllc.com</t>
  </si>
  <si>
    <t>See website</t>
  </si>
  <si>
    <t>NFT, Blockchain, Bitcoin Law, Cryptocurrency Disputes, Business Litigation</t>
  </si>
  <si>
    <t>Jacksonville-based firm representing clients in crypto/Bitcoin matters since 2017. Multi-attorney team with blockchain expertise.</t>
  </si>
  <si>
    <t>Montague Law</t>
  </si>
  <si>
    <t>montague.law</t>
  </si>
  <si>
    <t>(904) 234-5653</t>
  </si>
  <si>
    <t>Cryptocurrency, Blockchain, Digital Assets, DAO Formation, Securities Regulation, Wyoming DAO LLC</t>
  </si>
  <si>
    <t>Industry leaders in DAO formation. Deep knowledge of Wyoming DAO LLCs. Expertise in Digital Asset Market CLARITY Act of 2025.</t>
  </si>
  <si>
    <t>Florida (serves Northern District)</t>
  </si>
  <si>
    <t>Cryptocurrency Litigation, Regulatory Compliance, Forensics &amp; Investigations, Securities Law</t>
  </si>
  <si>
    <t>Admitted to U.S. District Court Northern District of Florida. Leading crypto law firm. Forensics &amp; Investigations team with law enforcement background. Successfully recovered stolen cryptocurrencies. Landmark case: Plaintiff served court papers via NFT.</t>
  </si>
  <si>
    <t>Mitchell A. Stone, P.A.</t>
  </si>
  <si>
    <t>jacksonvilledefense.com</t>
  </si>
  <si>
    <t>(904) 263-5005</t>
  </si>
  <si>
    <t>Cryptocurrency Defense, Criminal Trial Law, Blockchain Technology Crimes, Federal &amp; State Courts</t>
  </si>
  <si>
    <t>Board Certified Criminal Defense Attorney (only 2% of FL attorneys). Former prosecutor. Blockchain expertise since first Bitcoin mined.</t>
  </si>
  <si>
    <t>Arnold Law</t>
  </si>
  <si>
    <t>arnoldlawyers.com</t>
  </si>
  <si>
    <t>(904) 264-3627</t>
  </si>
  <si>
    <t>Green Cove Springs (Jacksonville area)</t>
  </si>
  <si>
    <t>Cryptocurrency Estate Planning, Probate, Criminal Defense, Business Law</t>
  </si>
  <si>
    <t>Located across from Clay County Courthouse. Serves all Florida residents with crypto estate planning needs.</t>
  </si>
  <si>
    <t>Am Law 200 firm. Multi-office presence in FL (Jacksonville, Orlando, Tampa, Ft. Lauderdale). Blockchain &amp; E-Transactions Law blog. Represents financial institutions, manufacturers, healthcare, middle market clients.</t>
  </si>
  <si>
    <t>thepathtojustice.com</t>
  </si>
  <si>
    <t>Florida (Statewide)</t>
  </si>
  <si>
    <t>Cryptocurrency Criminal Defense, Blockchain Technology Law, Federal &amp; State Courts</t>
  </si>
  <si>
    <t>Statewide Florida practice. State and federal courts. Blockchain expert consultants. Quick evidence preservation. Crypto defense across Florida cities.</t>
  </si>
  <si>
    <t>Todd M. Davis</t>
  </si>
  <si>
    <t>Founder &amp; Managing Attorney</t>
  </si>
  <si>
    <t>Crypto litigation, NFT law, blockchain disputes, business litigation</t>
  </si>
  <si>
    <t>Jacksonville; crypto practice since 2017; AV-Rated Preeminent; Super Lawyers listed</t>
  </si>
  <si>
    <t>Linsay R. Warren</t>
  </si>
  <si>
    <t>Business litigation, crypto law</t>
  </si>
  <si>
    <t>John Montague</t>
  </si>
  <si>
    <t>Venture capital, crypto law, DAOs, Wyoming DAO LLCs, token architecture</t>
  </si>
  <si>
    <t>Amelia Island/Jacksonville; UF Law; Ethereum user since 2016; industry leader</t>
  </si>
  <si>
    <t>Crypto law, regulatory compliance, blockchain</t>
  </si>
  <si>
    <t>Serves Northern District FL; also listed in South Florida</t>
  </si>
  <si>
    <t>Mitchell (Mitch) Stone</t>
  </si>
  <si>
    <t>Founder (Board Certified Criminal Trial)</t>
  </si>
  <si>
    <t>Federal criminal defense, white collar crime, financial fraud, crypto defense</t>
  </si>
  <si>
    <t>33rd President FACDL; former prosecutor; Best Lawyers 2022; AV-Preeminent</t>
  </si>
  <si>
    <t>Jim Arnold</t>
  </si>
  <si>
    <t>Founder</t>
  </si>
  <si>
    <t>Criminal defense, family law, real estate</t>
  </si>
  <si>
    <t>Green Cove Springs (Jacksonville area); UF Law 1973; Green Cove Springs City Attorney</t>
  </si>
  <si>
    <t>L. J. Arnold IV</t>
  </si>
  <si>
    <t>Criminal defense, sex crimes defense</t>
  </si>
  <si>
    <t>Clay, St. Johns, Duval counties</t>
  </si>
  <si>
    <t>Adrian Rust</t>
  </si>
  <si>
    <t>Managing Partner (Jacksonville Office)</t>
  </si>
  <si>
    <t>Lending, financial services litigation, commercial loan litigation</t>
  </si>
  <si>
    <t>Jacksonville office lead; Bank of America Tower</t>
  </si>
  <si>
    <t>Tim Gillis</t>
  </si>
  <si>
    <t>Partner (Corporate &amp; Tax)</t>
  </si>
  <si>
    <t>M&amp;A, private equity, franchising, capital raises, corporate transactions</t>
  </si>
  <si>
    <t>Best Lawyers Corporate Law 2025; former ACG North Florida President</t>
  </si>
  <si>
    <t>Troy K. Smith</t>
  </si>
  <si>
    <t>Construction litigation, commercial litigation</t>
  </si>
  <si>
    <t>Florida Trend Legal Elite (8x); Super Lawyers Top 100; Jacksonville Bar past President</t>
  </si>
  <si>
    <t>Ramie Altawil, J.D.</t>
  </si>
  <si>
    <t>(786) 706-8802</t>
  </si>
  <si>
    <t>Crypto defense, criminal defense, divorce, family law</t>
  </si>
  <si>
    <t>⚠️ Miami-based but serves statewide including North FL; crypto defense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</si>
</sst>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25" x14ac:dyDescent="0.45"/>
  <cols>
    <col min="1" max="1" width="25" customWidth="1"/>
    <col min="2" max="2" width="15" customWidth="1"/>
    <col min="3" max="3" width="35" customWidth="1"/>
    <col min="4" max="4" width="25" customWidth="1"/>
    <col min="5" max="5" width="18" customWidth="1"/>
  </cols>
  <sheetData>
    <row r="1" spans="1:5" ht="18" x14ac:dyDescent="0.55000000000000004">
      <c r="A1" s="1" t="s">
        <v>0</v>
      </c>
    </row>
    <row r="2" spans="1:5" x14ac:dyDescent="0.45">
      <c r="A2" t="s">
        <v>1</v>
      </c>
    </row>
    <row r="3" spans="1:5" x14ac:dyDescent="0.45">
      <c r="A3" t="s">
        <v>2</v>
      </c>
    </row>
    <row r="5" spans="1:5" x14ac:dyDescent="0.45">
      <c r="A5" s="2" t="s">
        <v>3</v>
      </c>
    </row>
    <row r="6" spans="1:5" x14ac:dyDescent="0.4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45">
      <c r="A7" s="4" t="s">
        <v>9</v>
      </c>
      <c r="B7" s="4">
        <f>C7+D7</f>
        <v>17</v>
      </c>
      <c r="C7" s="4">
        <f>COUNTIF('South Florida - Firms'!A:A,"Specialty")</f>
        <v>5</v>
      </c>
      <c r="D7" s="4">
        <f>COUNTIF('South Florida - Firms'!A:A,"General + Crypto")</f>
        <v>12</v>
      </c>
      <c r="E7" s="4">
        <f>COUNTA('South Florida - Contacts'!A:A)-1</f>
        <v>18</v>
      </c>
    </row>
    <row r="8" spans="1:5" x14ac:dyDescent="0.45">
      <c r="A8" s="4" t="s">
        <v>10</v>
      </c>
      <c r="B8" s="4">
        <f>C8+D8</f>
        <v>9</v>
      </c>
      <c r="C8" s="4">
        <f>COUNTIF('Central Florida - Firms'!A:A,"Specialty")</f>
        <v>2</v>
      </c>
      <c r="D8" s="4">
        <f>COUNTIF('Central Florida - Firms'!A:A,"General + Crypto")</f>
        <v>7</v>
      </c>
      <c r="E8" s="4">
        <f>COUNTA('Central Florida - Contacts'!A:A)-1</f>
        <v>13</v>
      </c>
    </row>
    <row r="9" spans="1:5" x14ac:dyDescent="0.45">
      <c r="A9" s="4" t="s">
        <v>11</v>
      </c>
      <c r="B9" s="4">
        <f>C9+D9</f>
        <v>7</v>
      </c>
      <c r="C9" s="4">
        <f>COUNTIF('North Florida - Firms'!A:A,"Specialty")</f>
        <v>5</v>
      </c>
      <c r="D9" s="4">
        <f>COUNTIF('North Florida - Firms'!A:A,"General + Crypto")</f>
        <v>2</v>
      </c>
      <c r="E9" s="4">
        <f>COUNTA('North Florida - Contacts'!A:A)-1</f>
        <v>11</v>
      </c>
    </row>
    <row r="10" spans="1:5" x14ac:dyDescent="0.45">
      <c r="A10" s="5" t="s">
        <v>12</v>
      </c>
      <c r="B10" s="5">
        <f>SUM(B7:B9)</f>
        <v>33</v>
      </c>
      <c r="C10" s="5">
        <f>SUM(C7:C9)</f>
        <v>12</v>
      </c>
      <c r="D10" s="5">
        <f>SUM(D7:D9)</f>
        <v>21</v>
      </c>
      <c r="E10" s="5">
        <f>SUM(E7:E9)</f>
        <v>42</v>
      </c>
    </row>
    <row r="12" spans="1:5" x14ac:dyDescent="0.45">
      <c r="A12" s="2" t="s">
        <v>13</v>
      </c>
    </row>
    <row r="13" spans="1:5" x14ac:dyDescent="0.45">
      <c r="A13" s="3" t="s">
        <v>4</v>
      </c>
      <c r="B13" s="3" t="s">
        <v>14</v>
      </c>
      <c r="C13" s="3" t="s">
        <v>15</v>
      </c>
      <c r="D13" s="3" t="s">
        <v>16</v>
      </c>
      <c r="E13" s="3" t="s">
        <v>17</v>
      </c>
    </row>
    <row r="14" spans="1:5" x14ac:dyDescent="0.45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</row>
    <row r="15" spans="1:5" x14ac:dyDescent="0.45">
      <c r="A15" s="4" t="s">
        <v>23</v>
      </c>
      <c r="B15" s="4" t="s">
        <v>24</v>
      </c>
      <c r="C15" s="4" t="s">
        <v>25</v>
      </c>
      <c r="D15" s="4" t="s">
        <v>26</v>
      </c>
      <c r="E15" s="4" t="s">
        <v>27</v>
      </c>
    </row>
    <row r="16" spans="1:5" x14ac:dyDescent="0.45">
      <c r="A16" s="4" t="s">
        <v>28</v>
      </c>
      <c r="B16" s="4" t="s">
        <v>29</v>
      </c>
      <c r="C16" s="4" t="s">
        <v>30</v>
      </c>
      <c r="D16" s="4" t="s">
        <v>31</v>
      </c>
      <c r="E16" s="4" t="s">
        <v>32</v>
      </c>
    </row>
    <row r="18" spans="1:1" x14ac:dyDescent="0.45">
      <c r="A18" s="2" t="s">
        <v>33</v>
      </c>
    </row>
    <row r="19" spans="1:1" x14ac:dyDescent="0.45">
      <c r="A19" s="6" t="s">
        <v>34</v>
      </c>
    </row>
    <row r="20" spans="1:1" x14ac:dyDescent="0.45">
      <c r="A20" s="7" t="s">
        <v>35</v>
      </c>
    </row>
    <row r="21" spans="1:1" x14ac:dyDescent="0.45">
      <c r="A21" s="8" t="s">
        <v>36</v>
      </c>
    </row>
    <row r="23" spans="1:1" x14ac:dyDescent="0.45">
      <c r="A23" s="2" t="s">
        <v>37</v>
      </c>
    </row>
    <row r="24" spans="1:1" x14ac:dyDescent="0.45">
      <c r="A24" t="s">
        <v>38</v>
      </c>
    </row>
    <row r="25" spans="1:1" x14ac:dyDescent="0.45">
      <c r="A25" t="s">
        <v>39</v>
      </c>
    </row>
    <row r="26" spans="1:1" x14ac:dyDescent="0.45">
      <c r="A26" t="s">
        <v>40</v>
      </c>
    </row>
    <row r="27" spans="1:1" x14ac:dyDescent="0.45">
      <c r="A27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4.25" x14ac:dyDescent="0.45"/>
  <cols>
    <col min="1" max="1" width="18" customWidth="1"/>
    <col min="2" max="2" width="10" customWidth="1"/>
    <col min="3" max="3" width="35" customWidth="1"/>
    <col min="4" max="4" width="25" customWidth="1"/>
    <col min="5" max="5" width="15" customWidth="1"/>
    <col min="6" max="6" width="30" customWidth="1"/>
    <col min="7" max="7" width="15" customWidth="1"/>
    <col min="8" max="8" width="10" customWidth="1"/>
    <col min="9" max="9" width="15" customWidth="1"/>
    <col min="10" max="10" width="13" customWidth="1"/>
    <col min="11" max="11" width="25" customWidth="1"/>
    <col min="12" max="12" width="13" customWidth="1"/>
  </cols>
  <sheetData>
    <row r="1" spans="1:12" x14ac:dyDescent="0.4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 x14ac:dyDescent="0.45">
      <c r="A2" s="9" t="s">
        <v>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45">
      <c r="A3" s="10" t="s">
        <v>55</v>
      </c>
      <c r="B3" s="10" t="s">
        <v>56</v>
      </c>
      <c r="C3" s="10" t="s">
        <v>57</v>
      </c>
      <c r="D3" s="10" t="s">
        <v>58</v>
      </c>
      <c r="E3" s="10"/>
      <c r="F3" s="10" t="s">
        <v>59</v>
      </c>
      <c r="G3" s="10" t="s">
        <v>60</v>
      </c>
      <c r="H3" s="10" t="s">
        <v>61</v>
      </c>
      <c r="I3" s="10" t="s">
        <v>62</v>
      </c>
      <c r="J3" s="10" t="s">
        <v>63</v>
      </c>
      <c r="K3" s="10" t="s">
        <v>64</v>
      </c>
      <c r="L3" s="10" t="s">
        <v>65</v>
      </c>
    </row>
    <row r="4" spans="1:12" x14ac:dyDescent="0.45">
      <c r="A4" s="10" t="s">
        <v>55</v>
      </c>
      <c r="B4" s="10" t="s">
        <v>56</v>
      </c>
      <c r="C4" s="10" t="s">
        <v>66</v>
      </c>
      <c r="D4" s="10" t="s">
        <v>67</v>
      </c>
      <c r="E4" s="10"/>
      <c r="F4" s="10" t="s">
        <v>68</v>
      </c>
      <c r="G4" s="10" t="s">
        <v>19</v>
      </c>
      <c r="H4" s="10" t="s">
        <v>61</v>
      </c>
      <c r="I4" s="10" t="s">
        <v>69</v>
      </c>
      <c r="J4" s="10" t="s">
        <v>70</v>
      </c>
      <c r="K4" s="10" t="s">
        <v>64</v>
      </c>
      <c r="L4" s="10" t="s">
        <v>65</v>
      </c>
    </row>
    <row r="5" spans="1:12" x14ac:dyDescent="0.45">
      <c r="A5" s="10" t="s">
        <v>55</v>
      </c>
      <c r="B5" s="10" t="s">
        <v>71</v>
      </c>
      <c r="C5" s="10" t="s">
        <v>72</v>
      </c>
      <c r="D5" s="10" t="s">
        <v>73</v>
      </c>
      <c r="E5" s="10" t="s">
        <v>74</v>
      </c>
      <c r="F5" s="10" t="s">
        <v>68</v>
      </c>
      <c r="G5" s="10" t="s">
        <v>19</v>
      </c>
      <c r="H5" s="10" t="s">
        <v>61</v>
      </c>
      <c r="I5" s="10" t="s">
        <v>62</v>
      </c>
      <c r="J5" s="10"/>
      <c r="K5" s="10" t="s">
        <v>64</v>
      </c>
      <c r="L5" s="10" t="s">
        <v>75</v>
      </c>
    </row>
    <row r="6" spans="1:12" x14ac:dyDescent="0.45">
      <c r="A6" s="10" t="s">
        <v>55</v>
      </c>
      <c r="B6" s="10" t="s">
        <v>71</v>
      </c>
      <c r="C6" s="10" t="s">
        <v>76</v>
      </c>
      <c r="D6" s="10" t="s">
        <v>77</v>
      </c>
      <c r="E6" s="10"/>
      <c r="F6" s="10" t="s">
        <v>68</v>
      </c>
      <c r="G6" s="10" t="s">
        <v>19</v>
      </c>
      <c r="H6" s="10" t="s">
        <v>61</v>
      </c>
      <c r="I6" s="10"/>
      <c r="J6" s="10"/>
      <c r="K6" s="10" t="s">
        <v>64</v>
      </c>
      <c r="L6" s="10" t="s">
        <v>75</v>
      </c>
    </row>
    <row r="7" spans="1:12" x14ac:dyDescent="0.45">
      <c r="A7" s="10" t="s">
        <v>55</v>
      </c>
      <c r="B7" s="10" t="s">
        <v>71</v>
      </c>
      <c r="C7" s="10" t="s">
        <v>78</v>
      </c>
      <c r="D7" s="10" t="s">
        <v>79</v>
      </c>
      <c r="E7" s="10"/>
      <c r="F7" s="10" t="s">
        <v>68</v>
      </c>
      <c r="G7" s="10" t="s">
        <v>19</v>
      </c>
      <c r="H7" s="10" t="s">
        <v>61</v>
      </c>
      <c r="I7" s="10"/>
      <c r="J7" s="10"/>
      <c r="K7" s="10" t="s">
        <v>64</v>
      </c>
      <c r="L7" s="10" t="s">
        <v>75</v>
      </c>
    </row>
    <row r="9" spans="1:12" x14ac:dyDescent="0.45">
      <c r="A9" s="9" t="s">
        <v>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45">
      <c r="A10" s="11" t="s">
        <v>81</v>
      </c>
      <c r="B10" s="11" t="s">
        <v>56</v>
      </c>
      <c r="C10" s="11" t="s">
        <v>82</v>
      </c>
      <c r="D10" s="11" t="s">
        <v>83</v>
      </c>
      <c r="E10" s="11" t="s">
        <v>84</v>
      </c>
      <c r="F10" s="11" t="s">
        <v>68</v>
      </c>
      <c r="G10" s="11" t="s">
        <v>19</v>
      </c>
      <c r="H10" s="11" t="s">
        <v>61</v>
      </c>
      <c r="I10" s="11" t="s">
        <v>85</v>
      </c>
      <c r="J10" s="11" t="s">
        <v>86</v>
      </c>
      <c r="K10" s="11" t="s">
        <v>87</v>
      </c>
      <c r="L10" s="11" t="s">
        <v>88</v>
      </c>
    </row>
    <row r="11" spans="1:12" x14ac:dyDescent="0.45">
      <c r="A11" s="11" t="s">
        <v>81</v>
      </c>
      <c r="B11" s="11" t="s">
        <v>56</v>
      </c>
      <c r="C11" s="11" t="s">
        <v>89</v>
      </c>
      <c r="D11" s="11" t="s">
        <v>90</v>
      </c>
      <c r="E11" s="11"/>
      <c r="F11" s="11" t="s">
        <v>91</v>
      </c>
      <c r="G11" s="11" t="s">
        <v>19</v>
      </c>
      <c r="H11" s="11" t="s">
        <v>92</v>
      </c>
      <c r="I11" s="11"/>
      <c r="J11" s="11" t="s">
        <v>86</v>
      </c>
      <c r="K11" s="11" t="s">
        <v>87</v>
      </c>
      <c r="L11" s="11" t="s">
        <v>88</v>
      </c>
    </row>
    <row r="12" spans="1:12" x14ac:dyDescent="0.45">
      <c r="A12" s="11" t="s">
        <v>81</v>
      </c>
      <c r="B12" s="11" t="s">
        <v>56</v>
      </c>
      <c r="C12" s="11" t="s">
        <v>93</v>
      </c>
      <c r="D12" s="11" t="s">
        <v>94</v>
      </c>
      <c r="E12" s="11" t="s">
        <v>95</v>
      </c>
      <c r="F12" s="11" t="s">
        <v>96</v>
      </c>
      <c r="G12" s="11" t="s">
        <v>19</v>
      </c>
      <c r="H12" s="11" t="s">
        <v>61</v>
      </c>
      <c r="I12" s="11" t="s">
        <v>97</v>
      </c>
      <c r="J12" s="11" t="s">
        <v>98</v>
      </c>
      <c r="K12" s="11" t="s">
        <v>87</v>
      </c>
      <c r="L12" s="11" t="s">
        <v>88</v>
      </c>
    </row>
    <row r="13" spans="1:12" x14ac:dyDescent="0.45">
      <c r="A13" s="11" t="s">
        <v>81</v>
      </c>
      <c r="B13" s="11" t="s">
        <v>56</v>
      </c>
      <c r="C13" s="11" t="s">
        <v>99</v>
      </c>
      <c r="D13" s="11" t="s">
        <v>100</v>
      </c>
      <c r="E13" s="11"/>
      <c r="F13" s="11" t="s">
        <v>68</v>
      </c>
      <c r="G13" s="11" t="s">
        <v>19</v>
      </c>
      <c r="H13" s="11" t="s">
        <v>61</v>
      </c>
      <c r="I13" s="11" t="s">
        <v>101</v>
      </c>
      <c r="J13" s="11" t="s">
        <v>102</v>
      </c>
      <c r="K13" s="11" t="s">
        <v>87</v>
      </c>
      <c r="L13" s="11" t="s">
        <v>88</v>
      </c>
    </row>
    <row r="14" spans="1:12" x14ac:dyDescent="0.45">
      <c r="A14" s="11" t="s">
        <v>81</v>
      </c>
      <c r="B14" s="11" t="s">
        <v>71</v>
      </c>
      <c r="C14" s="11" t="s">
        <v>103</v>
      </c>
      <c r="D14" s="11" t="s">
        <v>104</v>
      </c>
      <c r="E14" s="11" t="s">
        <v>105</v>
      </c>
      <c r="F14" s="11" t="s">
        <v>106</v>
      </c>
      <c r="G14" s="11" t="s">
        <v>19</v>
      </c>
      <c r="H14" s="11" t="s">
        <v>61</v>
      </c>
      <c r="I14" s="11" t="s">
        <v>101</v>
      </c>
      <c r="J14" s="11" t="s">
        <v>107</v>
      </c>
      <c r="K14" s="11" t="s">
        <v>108</v>
      </c>
      <c r="L14" s="11" t="s">
        <v>109</v>
      </c>
    </row>
    <row r="15" spans="1:12" x14ac:dyDescent="0.45">
      <c r="A15" s="11" t="s">
        <v>81</v>
      </c>
      <c r="B15" s="11" t="s">
        <v>71</v>
      </c>
      <c r="C15" s="11" t="s">
        <v>110</v>
      </c>
      <c r="D15" s="11" t="s">
        <v>111</v>
      </c>
      <c r="E15" s="11"/>
      <c r="F15" s="11" t="s">
        <v>112</v>
      </c>
      <c r="G15" s="11" t="s">
        <v>19</v>
      </c>
      <c r="H15" s="11" t="s">
        <v>92</v>
      </c>
      <c r="I15" s="11"/>
      <c r="J15" s="11" t="s">
        <v>113</v>
      </c>
      <c r="K15" s="11" t="s">
        <v>108</v>
      </c>
      <c r="L15" s="11" t="s">
        <v>109</v>
      </c>
    </row>
    <row r="16" spans="1:12" x14ac:dyDescent="0.45">
      <c r="A16" s="11" t="s">
        <v>81</v>
      </c>
      <c r="B16" s="11" t="s">
        <v>114</v>
      </c>
      <c r="C16" s="11" t="s">
        <v>115</v>
      </c>
      <c r="D16" s="11" t="s">
        <v>116</v>
      </c>
      <c r="E16" s="11" t="s">
        <v>117</v>
      </c>
      <c r="F16" s="11" t="s">
        <v>118</v>
      </c>
      <c r="G16" s="11" t="s">
        <v>119</v>
      </c>
      <c r="H16" s="11" t="s">
        <v>92</v>
      </c>
      <c r="I16" s="11"/>
      <c r="J16" s="11" t="s">
        <v>120</v>
      </c>
      <c r="K16" s="11" t="s">
        <v>108</v>
      </c>
      <c r="L16" s="11" t="s">
        <v>121</v>
      </c>
    </row>
    <row r="17" spans="1:12" x14ac:dyDescent="0.45">
      <c r="A17" s="11" t="s">
        <v>81</v>
      </c>
      <c r="B17" s="11" t="s">
        <v>114</v>
      </c>
      <c r="C17" s="11" t="s">
        <v>122</v>
      </c>
      <c r="D17" s="11" t="s">
        <v>123</v>
      </c>
      <c r="E17" s="11"/>
      <c r="F17" s="11" t="s">
        <v>119</v>
      </c>
      <c r="G17" s="11" t="s">
        <v>119</v>
      </c>
      <c r="H17" s="11" t="s">
        <v>92</v>
      </c>
      <c r="I17" s="11"/>
      <c r="J17" s="11" t="s">
        <v>63</v>
      </c>
      <c r="K17" s="11" t="s">
        <v>108</v>
      </c>
      <c r="L17" s="11" t="s">
        <v>121</v>
      </c>
    </row>
    <row r="18" spans="1:12" x14ac:dyDescent="0.45">
      <c r="A18" s="11" t="s">
        <v>81</v>
      </c>
      <c r="B18" s="11" t="s">
        <v>114</v>
      </c>
      <c r="C18" s="11" t="s">
        <v>124</v>
      </c>
      <c r="D18" s="11" t="s">
        <v>125</v>
      </c>
      <c r="E18" s="11"/>
      <c r="F18" s="11" t="s">
        <v>126</v>
      </c>
      <c r="G18" s="11" t="s">
        <v>127</v>
      </c>
      <c r="H18" s="11" t="s">
        <v>61</v>
      </c>
      <c r="I18" s="11" t="s">
        <v>62</v>
      </c>
      <c r="J18" s="11" t="s">
        <v>120</v>
      </c>
      <c r="K18" s="11" t="s">
        <v>108</v>
      </c>
      <c r="L18" s="11" t="s">
        <v>121</v>
      </c>
    </row>
    <row r="19" spans="1:12" x14ac:dyDescent="0.45">
      <c r="A19" s="11" t="s">
        <v>81</v>
      </c>
      <c r="B19" s="11" t="s">
        <v>114</v>
      </c>
      <c r="C19" s="11" t="s">
        <v>128</v>
      </c>
      <c r="D19" s="11" t="s">
        <v>129</v>
      </c>
      <c r="E19" s="11" t="s">
        <v>130</v>
      </c>
      <c r="F19" s="11" t="s">
        <v>126</v>
      </c>
      <c r="G19" s="11" t="s">
        <v>127</v>
      </c>
      <c r="H19" s="11" t="s">
        <v>61</v>
      </c>
      <c r="I19" s="11" t="s">
        <v>62</v>
      </c>
      <c r="J19" s="11" t="s">
        <v>70</v>
      </c>
      <c r="K19" s="11" t="s">
        <v>108</v>
      </c>
      <c r="L19" s="11" t="s">
        <v>121</v>
      </c>
    </row>
    <row r="20" spans="1:12" x14ac:dyDescent="0.45">
      <c r="A20" s="11" t="s">
        <v>81</v>
      </c>
      <c r="B20" s="11" t="s">
        <v>114</v>
      </c>
      <c r="C20" s="11" t="s">
        <v>131</v>
      </c>
      <c r="D20" s="11" t="s">
        <v>132</v>
      </c>
      <c r="E20" s="11"/>
      <c r="F20" s="11" t="s">
        <v>126</v>
      </c>
      <c r="G20" s="11" t="s">
        <v>127</v>
      </c>
      <c r="H20" s="11" t="s">
        <v>61</v>
      </c>
      <c r="I20" s="11" t="s">
        <v>62</v>
      </c>
      <c r="J20" s="11" t="s">
        <v>120</v>
      </c>
      <c r="K20" s="11" t="s">
        <v>108</v>
      </c>
      <c r="L20" s="11" t="s">
        <v>121</v>
      </c>
    </row>
    <row r="21" spans="1:12" x14ac:dyDescent="0.45">
      <c r="A21" s="11" t="s">
        <v>81</v>
      </c>
      <c r="B21" s="11" t="s">
        <v>114</v>
      </c>
      <c r="C21" s="11" t="s">
        <v>133</v>
      </c>
      <c r="D21" s="11" t="s">
        <v>134</v>
      </c>
      <c r="E21" s="11"/>
      <c r="F21" s="11" t="s">
        <v>126</v>
      </c>
      <c r="G21" s="11" t="s">
        <v>127</v>
      </c>
      <c r="H21" s="11" t="s">
        <v>61</v>
      </c>
      <c r="I21" s="11" t="s">
        <v>62</v>
      </c>
      <c r="J21" s="11" t="s">
        <v>135</v>
      </c>
      <c r="K21" s="11" t="s">
        <v>108</v>
      </c>
      <c r="L21" s="11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/>
  </sheetViews>
  <sheetFormatPr defaultRowHeight="14.25" x14ac:dyDescent="0.45"/>
  <cols>
    <col min="1" max="1" width="25" customWidth="1"/>
    <col min="2" max="2" width="20" customWidth="1"/>
    <col min="3" max="3" width="35" customWidth="1"/>
    <col min="4" max="4" width="18" customWidth="1"/>
    <col min="5" max="5" width="10" customWidth="1"/>
    <col min="6" max="6" width="25" customWidth="1"/>
    <col min="7" max="7" width="30" customWidth="1"/>
    <col min="8" max="8" width="12" customWidth="1"/>
    <col min="9" max="9" width="15" customWidth="1"/>
    <col min="10" max="10" width="13" customWidth="1"/>
    <col min="11" max="11" width="35" customWidth="1"/>
    <col min="12" max="12" width="25" customWidth="1"/>
    <col min="13" max="13" width="13" customWidth="1"/>
  </cols>
  <sheetData>
    <row r="1" spans="1:13" x14ac:dyDescent="0.45">
      <c r="A1" s="3" t="s">
        <v>136</v>
      </c>
      <c r="B1" s="3" t="s">
        <v>137</v>
      </c>
      <c r="C1" s="3" t="s">
        <v>44</v>
      </c>
      <c r="D1" s="3" t="s">
        <v>138</v>
      </c>
      <c r="E1" s="3" t="s">
        <v>139</v>
      </c>
      <c r="F1" s="3" t="s">
        <v>53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</row>
    <row r="2" spans="1:13" x14ac:dyDescent="0.45">
      <c r="A2" s="10" t="s">
        <v>147</v>
      </c>
      <c r="B2" s="10" t="s">
        <v>148</v>
      </c>
      <c r="C2" s="10" t="s">
        <v>57</v>
      </c>
      <c r="D2" s="10" t="s">
        <v>55</v>
      </c>
      <c r="E2" s="10" t="s">
        <v>56</v>
      </c>
      <c r="F2" s="10" t="s">
        <v>65</v>
      </c>
      <c r="G2" s="10"/>
      <c r="H2" s="10"/>
      <c r="I2" s="10"/>
      <c r="J2" s="10"/>
      <c r="K2" s="10" t="s">
        <v>149</v>
      </c>
      <c r="L2" s="10"/>
      <c r="M2" s="10"/>
    </row>
    <row r="3" spans="1:13" x14ac:dyDescent="0.45">
      <c r="A3" s="10" t="s">
        <v>150</v>
      </c>
      <c r="B3" s="10" t="s">
        <v>151</v>
      </c>
      <c r="C3" s="10" t="s">
        <v>72</v>
      </c>
      <c r="D3" s="10" t="s">
        <v>55</v>
      </c>
      <c r="E3" s="10" t="s">
        <v>71</v>
      </c>
      <c r="F3" s="10" t="s">
        <v>75</v>
      </c>
      <c r="G3" s="10"/>
      <c r="H3" s="10" t="s">
        <v>152</v>
      </c>
      <c r="I3" s="10"/>
      <c r="J3" s="10"/>
      <c r="K3" s="10" t="s">
        <v>153</v>
      </c>
      <c r="L3" s="10"/>
      <c r="M3" s="10"/>
    </row>
    <row r="4" spans="1:13" x14ac:dyDescent="0.45">
      <c r="A4" s="10" t="s">
        <v>154</v>
      </c>
      <c r="B4" s="10" t="s">
        <v>148</v>
      </c>
      <c r="C4" s="10" t="s">
        <v>57</v>
      </c>
      <c r="D4" s="10" t="s">
        <v>55</v>
      </c>
      <c r="E4" s="10" t="s">
        <v>56</v>
      </c>
      <c r="F4" s="10" t="s">
        <v>65</v>
      </c>
      <c r="G4" s="10"/>
      <c r="H4" s="10"/>
      <c r="I4" s="10"/>
      <c r="J4" s="10"/>
      <c r="K4" s="10" t="s">
        <v>155</v>
      </c>
      <c r="L4" s="10"/>
      <c r="M4" s="10"/>
    </row>
    <row r="5" spans="1:13" x14ac:dyDescent="0.45">
      <c r="A5" s="10" t="s">
        <v>156</v>
      </c>
      <c r="B5" s="10" t="s">
        <v>157</v>
      </c>
      <c r="C5" s="10" t="s">
        <v>57</v>
      </c>
      <c r="D5" s="10" t="s">
        <v>55</v>
      </c>
      <c r="E5" s="10" t="s">
        <v>56</v>
      </c>
      <c r="F5" s="10" t="s">
        <v>65</v>
      </c>
      <c r="G5" s="10"/>
      <c r="H5" s="10"/>
      <c r="I5" s="10"/>
      <c r="J5" s="10"/>
      <c r="K5" s="10" t="s">
        <v>158</v>
      </c>
      <c r="L5" s="10"/>
      <c r="M5" s="10"/>
    </row>
    <row r="6" spans="1:13" x14ac:dyDescent="0.45">
      <c r="A6" s="11" t="s">
        <v>159</v>
      </c>
      <c r="B6" s="11" t="s">
        <v>160</v>
      </c>
      <c r="C6" s="11" t="s">
        <v>110</v>
      </c>
      <c r="D6" s="11" t="s">
        <v>81</v>
      </c>
      <c r="E6" s="11" t="s">
        <v>71</v>
      </c>
      <c r="F6" s="11" t="s">
        <v>109</v>
      </c>
      <c r="G6" s="11"/>
      <c r="H6" s="11"/>
      <c r="I6" s="11"/>
      <c r="J6" s="11"/>
      <c r="K6" s="11" t="s">
        <v>161</v>
      </c>
      <c r="L6" s="11"/>
      <c r="M6" s="11"/>
    </row>
    <row r="7" spans="1:13" x14ac:dyDescent="0.45">
      <c r="A7" s="11" t="s">
        <v>162</v>
      </c>
      <c r="B7" s="11" t="s">
        <v>163</v>
      </c>
      <c r="C7" s="11" t="s">
        <v>89</v>
      </c>
      <c r="D7" s="11" t="s">
        <v>81</v>
      </c>
      <c r="E7" s="11" t="s">
        <v>56</v>
      </c>
      <c r="F7" s="11" t="s">
        <v>88</v>
      </c>
      <c r="G7" s="11"/>
      <c r="H7" s="11"/>
      <c r="I7" s="11"/>
      <c r="J7" s="11"/>
      <c r="K7" s="11" t="s">
        <v>164</v>
      </c>
      <c r="L7" s="11"/>
      <c r="M7" s="11"/>
    </row>
    <row r="8" spans="1:13" x14ac:dyDescent="0.45">
      <c r="A8" s="11" t="s">
        <v>165</v>
      </c>
      <c r="B8" s="11" t="s">
        <v>166</v>
      </c>
      <c r="C8" s="11" t="s">
        <v>103</v>
      </c>
      <c r="D8" s="11" t="s">
        <v>81</v>
      </c>
      <c r="E8" s="11" t="s">
        <v>71</v>
      </c>
      <c r="F8" s="11" t="s">
        <v>109</v>
      </c>
      <c r="G8" s="11" t="s">
        <v>167</v>
      </c>
      <c r="H8" s="11" t="s">
        <v>168</v>
      </c>
      <c r="I8" s="11">
        <v>18569811060</v>
      </c>
      <c r="J8" s="11">
        <v>12128659848</v>
      </c>
      <c r="K8" s="11" t="s">
        <v>169</v>
      </c>
      <c r="L8" s="11"/>
      <c r="M8" s="11"/>
    </row>
    <row r="9" spans="1:13" x14ac:dyDescent="0.45">
      <c r="A9" s="11" t="s">
        <v>170</v>
      </c>
      <c r="B9" s="11" t="s">
        <v>160</v>
      </c>
      <c r="C9" s="11" t="s">
        <v>89</v>
      </c>
      <c r="D9" s="11" t="s">
        <v>81</v>
      </c>
      <c r="E9" s="11" t="s">
        <v>56</v>
      </c>
      <c r="F9" s="11" t="s">
        <v>88</v>
      </c>
      <c r="G9" s="11"/>
      <c r="H9" s="11"/>
      <c r="I9" s="11"/>
      <c r="J9" s="11"/>
      <c r="K9" s="11" t="s">
        <v>171</v>
      </c>
      <c r="L9" s="11"/>
      <c r="M9" s="11"/>
    </row>
    <row r="10" spans="1:13" x14ac:dyDescent="0.45">
      <c r="A10" s="11" t="s">
        <v>172</v>
      </c>
      <c r="B10" s="11" t="s">
        <v>160</v>
      </c>
      <c r="C10" s="11" t="s">
        <v>93</v>
      </c>
      <c r="D10" s="11" t="s">
        <v>81</v>
      </c>
      <c r="E10" s="11" t="s">
        <v>56</v>
      </c>
      <c r="F10" s="11" t="s">
        <v>88</v>
      </c>
      <c r="G10" s="11"/>
      <c r="H10" s="11"/>
      <c r="I10" s="11"/>
      <c r="J10" s="11"/>
      <c r="K10" s="11" t="s">
        <v>173</v>
      </c>
      <c r="L10" s="11"/>
      <c r="M10" s="11"/>
    </row>
    <row r="11" spans="1:13" x14ac:dyDescent="0.45">
      <c r="A11" s="11" t="s">
        <v>174</v>
      </c>
      <c r="B11" s="11" t="s">
        <v>175</v>
      </c>
      <c r="C11" s="11" t="s">
        <v>89</v>
      </c>
      <c r="D11" s="11" t="s">
        <v>81</v>
      </c>
      <c r="E11" s="11" t="s">
        <v>56</v>
      </c>
      <c r="F11" s="11" t="s">
        <v>88</v>
      </c>
      <c r="G11" s="11"/>
      <c r="H11" s="11"/>
      <c r="I11" s="11"/>
      <c r="J11" s="11"/>
      <c r="K11" s="11"/>
      <c r="L11" s="11"/>
      <c r="M11" s="11"/>
    </row>
    <row r="12" spans="1:13" x14ac:dyDescent="0.45">
      <c r="A12" s="11" t="s">
        <v>176</v>
      </c>
      <c r="B12" s="11" t="s">
        <v>148</v>
      </c>
      <c r="C12" s="11" t="s">
        <v>177</v>
      </c>
      <c r="D12" s="11" t="s">
        <v>81</v>
      </c>
      <c r="E12" s="11"/>
      <c r="F12" s="11" t="s">
        <v>178</v>
      </c>
      <c r="G12" s="11"/>
      <c r="H12" s="11"/>
      <c r="I12" s="11"/>
      <c r="J12" s="11"/>
      <c r="K12" s="11" t="s">
        <v>179</v>
      </c>
      <c r="L12" s="11"/>
      <c r="M12" s="11"/>
    </row>
    <row r="13" spans="1:13" x14ac:dyDescent="0.45">
      <c r="A13" s="11" t="s">
        <v>180</v>
      </c>
      <c r="B13" s="11" t="s">
        <v>148</v>
      </c>
      <c r="C13" s="11" t="s">
        <v>181</v>
      </c>
      <c r="D13" s="11" t="s">
        <v>81</v>
      </c>
      <c r="E13" s="11"/>
      <c r="F13" s="11" t="s">
        <v>178</v>
      </c>
      <c r="G13" s="11"/>
      <c r="H13" s="11"/>
      <c r="I13" s="11"/>
      <c r="J13" s="11"/>
      <c r="K13" s="11" t="s">
        <v>182</v>
      </c>
      <c r="L13" s="11"/>
      <c r="M13" s="11"/>
    </row>
    <row r="14" spans="1:13" x14ac:dyDescent="0.45">
      <c r="A14" s="11" t="s">
        <v>183</v>
      </c>
      <c r="B14" s="11" t="s">
        <v>160</v>
      </c>
      <c r="C14" s="11" t="s">
        <v>89</v>
      </c>
      <c r="D14" s="11" t="s">
        <v>81</v>
      </c>
      <c r="E14" s="11" t="s">
        <v>56</v>
      </c>
      <c r="F14" s="11" t="s">
        <v>88</v>
      </c>
      <c r="G14" s="11"/>
      <c r="H14" s="11"/>
      <c r="I14" s="11"/>
      <c r="J14" s="11"/>
      <c r="K14" s="11" t="s">
        <v>184</v>
      </c>
      <c r="L14" s="11"/>
      <c r="M14" s="11"/>
    </row>
    <row r="15" spans="1:13" x14ac:dyDescent="0.45">
      <c r="A15" s="11" t="s">
        <v>185</v>
      </c>
      <c r="B15" s="11" t="s">
        <v>186</v>
      </c>
      <c r="C15" s="11" t="s">
        <v>93</v>
      </c>
      <c r="D15" s="11" t="s">
        <v>81</v>
      </c>
      <c r="E15" s="11" t="s">
        <v>56</v>
      </c>
      <c r="F15" s="11" t="s">
        <v>88</v>
      </c>
      <c r="G15" s="11" t="s">
        <v>187</v>
      </c>
      <c r="H15" s="11" t="s">
        <v>168</v>
      </c>
      <c r="I15" s="11">
        <v>16507149100</v>
      </c>
      <c r="J15" s="11">
        <v>12122942630</v>
      </c>
      <c r="K15" s="11" t="s">
        <v>188</v>
      </c>
      <c r="L15" s="11"/>
      <c r="M15" s="11"/>
    </row>
    <row r="16" spans="1:13" x14ac:dyDescent="0.45">
      <c r="A16" s="11" t="s">
        <v>189</v>
      </c>
      <c r="B16" s="11" t="s">
        <v>190</v>
      </c>
      <c r="C16" s="11" t="s">
        <v>89</v>
      </c>
      <c r="D16" s="11" t="s">
        <v>81</v>
      </c>
      <c r="E16" s="11" t="s">
        <v>56</v>
      </c>
      <c r="F16" s="11" t="s">
        <v>88</v>
      </c>
      <c r="G16" s="11"/>
      <c r="H16" s="11"/>
      <c r="I16" s="11"/>
      <c r="J16" s="11"/>
      <c r="K16" s="11"/>
      <c r="L16" s="11"/>
      <c r="M16" s="11"/>
    </row>
    <row r="17" spans="1:13" x14ac:dyDescent="0.45">
      <c r="A17" s="11" t="s">
        <v>191</v>
      </c>
      <c r="B17" s="11" t="s">
        <v>192</v>
      </c>
      <c r="C17" s="11" t="s">
        <v>115</v>
      </c>
      <c r="D17" s="11" t="s">
        <v>81</v>
      </c>
      <c r="E17" s="11" t="s">
        <v>114</v>
      </c>
      <c r="F17" s="11" t="s">
        <v>121</v>
      </c>
      <c r="G17" s="11"/>
      <c r="H17" s="11"/>
      <c r="I17" s="11"/>
      <c r="J17" s="11" t="s">
        <v>117</v>
      </c>
      <c r="K17" s="11"/>
      <c r="L17" s="11"/>
      <c r="M17" s="11"/>
    </row>
    <row r="18" spans="1:13" x14ac:dyDescent="0.45">
      <c r="A18" s="11" t="s">
        <v>193</v>
      </c>
      <c r="B18" s="11" t="s">
        <v>194</v>
      </c>
      <c r="C18" s="11" t="s">
        <v>181</v>
      </c>
      <c r="D18" s="11" t="s">
        <v>81</v>
      </c>
      <c r="E18" s="11"/>
      <c r="F18" s="11" t="s">
        <v>178</v>
      </c>
      <c r="G18" s="11"/>
      <c r="H18" s="11"/>
      <c r="I18" s="11"/>
      <c r="J18" s="11"/>
      <c r="K18" s="11" t="s">
        <v>195</v>
      </c>
      <c r="L18" s="11"/>
      <c r="M18" s="11"/>
    </row>
    <row r="19" spans="1:13" x14ac:dyDescent="0.45">
      <c r="A19" s="11" t="s">
        <v>196</v>
      </c>
      <c r="B19" s="11" t="s">
        <v>166</v>
      </c>
      <c r="C19" s="11" t="s">
        <v>93</v>
      </c>
      <c r="D19" s="11" t="s">
        <v>81</v>
      </c>
      <c r="E19" s="11" t="s">
        <v>56</v>
      </c>
      <c r="F19" s="11" t="s">
        <v>88</v>
      </c>
      <c r="G19" s="11" t="s">
        <v>197</v>
      </c>
      <c r="H19" s="11" t="s">
        <v>198</v>
      </c>
      <c r="I19" s="11"/>
      <c r="J19" s="11">
        <v>15029313203</v>
      </c>
      <c r="K19" s="11" t="s">
        <v>199</v>
      </c>
      <c r="L19" s="11"/>
      <c r="M19" s="11"/>
    </row>
    <row r="20" spans="1:13" x14ac:dyDescent="0.4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4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4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opLeftCell="C1" workbookViewId="0"/>
  </sheetViews>
  <sheetFormatPr defaultRowHeight="14.25" x14ac:dyDescent="0.45"/>
  <cols>
    <col min="1" max="1" width="18" customWidth="1"/>
    <col min="2" max="2" width="10" customWidth="1"/>
    <col min="3" max="3" width="35" customWidth="1"/>
    <col min="4" max="4" width="25" customWidth="1"/>
    <col min="5" max="5" width="15" customWidth="1"/>
    <col min="6" max="6" width="30" customWidth="1"/>
    <col min="7" max="7" width="15" customWidth="1"/>
    <col min="8" max="8" width="10" customWidth="1"/>
    <col min="9" max="9" width="15" customWidth="1"/>
    <col min="10" max="10" width="13" customWidth="1"/>
    <col min="11" max="11" width="25" customWidth="1"/>
    <col min="12" max="12" width="13" customWidth="1"/>
  </cols>
  <sheetData>
    <row r="1" spans="1:12" x14ac:dyDescent="0.4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 x14ac:dyDescent="0.45">
      <c r="A2" s="9" t="s">
        <v>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45">
      <c r="A3" s="10" t="s">
        <v>55</v>
      </c>
      <c r="B3" s="10" t="s">
        <v>71</v>
      </c>
      <c r="C3" s="10" t="s">
        <v>200</v>
      </c>
      <c r="D3" s="10" t="s">
        <v>201</v>
      </c>
      <c r="E3" s="10"/>
      <c r="F3" s="10" t="s">
        <v>202</v>
      </c>
      <c r="G3" s="10" t="s">
        <v>203</v>
      </c>
      <c r="H3" s="10" t="s">
        <v>61</v>
      </c>
      <c r="I3" s="10" t="s">
        <v>62</v>
      </c>
      <c r="J3" s="10" t="s">
        <v>63</v>
      </c>
      <c r="K3" s="10" t="s">
        <v>64</v>
      </c>
      <c r="L3" s="10" t="s">
        <v>75</v>
      </c>
    </row>
    <row r="4" spans="1:12" x14ac:dyDescent="0.45">
      <c r="A4" s="10" t="s">
        <v>55</v>
      </c>
      <c r="B4" s="10" t="s">
        <v>71</v>
      </c>
      <c r="C4" s="10" t="s">
        <v>204</v>
      </c>
      <c r="D4" s="10" t="s">
        <v>205</v>
      </c>
      <c r="E4" s="10" t="s">
        <v>206</v>
      </c>
      <c r="F4" s="10" t="s">
        <v>207</v>
      </c>
      <c r="G4" s="10" t="s">
        <v>92</v>
      </c>
      <c r="H4" s="10" t="s">
        <v>208</v>
      </c>
      <c r="I4" s="10" t="s">
        <v>209</v>
      </c>
      <c r="J4" s="10"/>
      <c r="K4" s="10" t="s">
        <v>64</v>
      </c>
      <c r="L4" s="10" t="s">
        <v>75</v>
      </c>
    </row>
    <row r="6" spans="1:12" x14ac:dyDescent="0.45">
      <c r="A6" s="9" t="s">
        <v>80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45">
      <c r="A7" s="11" t="s">
        <v>81</v>
      </c>
      <c r="B7" s="11" t="s">
        <v>56</v>
      </c>
      <c r="C7" s="11" t="s">
        <v>210</v>
      </c>
      <c r="D7" s="11" t="s">
        <v>211</v>
      </c>
      <c r="E7" s="11" t="s">
        <v>212</v>
      </c>
      <c r="F7" s="11" t="s">
        <v>213</v>
      </c>
      <c r="G7" s="11" t="s">
        <v>92</v>
      </c>
      <c r="H7" s="11" t="s">
        <v>214</v>
      </c>
      <c r="I7" s="11" t="s">
        <v>215</v>
      </c>
      <c r="J7" s="11"/>
      <c r="K7" s="11" t="s">
        <v>87</v>
      </c>
      <c r="L7" s="11" t="s">
        <v>88</v>
      </c>
    </row>
    <row r="8" spans="1:12" x14ac:dyDescent="0.45">
      <c r="A8" s="11" t="s">
        <v>81</v>
      </c>
      <c r="B8" s="11" t="s">
        <v>71</v>
      </c>
      <c r="C8" s="11" t="s">
        <v>216</v>
      </c>
      <c r="D8" s="11" t="s">
        <v>217</v>
      </c>
      <c r="E8" s="11"/>
      <c r="F8" s="11" t="s">
        <v>218</v>
      </c>
      <c r="G8" s="11" t="s">
        <v>219</v>
      </c>
      <c r="H8" s="11" t="s">
        <v>61</v>
      </c>
      <c r="I8" s="11" t="s">
        <v>69</v>
      </c>
      <c r="J8" s="11" t="s">
        <v>113</v>
      </c>
      <c r="K8" s="11" t="s">
        <v>108</v>
      </c>
      <c r="L8" s="11" t="s">
        <v>109</v>
      </c>
    </row>
    <row r="9" spans="1:12" x14ac:dyDescent="0.45">
      <c r="A9" s="11" t="s">
        <v>81</v>
      </c>
      <c r="B9" s="11" t="s">
        <v>114</v>
      </c>
      <c r="C9" s="11" t="s">
        <v>220</v>
      </c>
      <c r="D9" s="11" t="s">
        <v>221</v>
      </c>
      <c r="E9" s="11" t="s">
        <v>222</v>
      </c>
      <c r="F9" s="11" t="s">
        <v>223</v>
      </c>
      <c r="G9" s="11" t="s">
        <v>213</v>
      </c>
      <c r="H9" s="11" t="s">
        <v>61</v>
      </c>
      <c r="I9" s="11" t="s">
        <v>62</v>
      </c>
      <c r="J9" s="11" t="s">
        <v>120</v>
      </c>
      <c r="K9" s="11" t="s">
        <v>108</v>
      </c>
      <c r="L9" s="11" t="s">
        <v>121</v>
      </c>
    </row>
    <row r="10" spans="1:12" x14ac:dyDescent="0.45">
      <c r="A10" s="11" t="s">
        <v>81</v>
      </c>
      <c r="B10" s="11" t="s">
        <v>114</v>
      </c>
      <c r="C10" s="11" t="s">
        <v>224</v>
      </c>
      <c r="D10" s="11" t="s">
        <v>225</v>
      </c>
      <c r="E10" s="11" t="s">
        <v>226</v>
      </c>
      <c r="F10" s="11" t="s">
        <v>223</v>
      </c>
      <c r="G10" s="11" t="s">
        <v>213</v>
      </c>
      <c r="H10" s="11" t="s">
        <v>61</v>
      </c>
      <c r="I10" s="11" t="s">
        <v>62</v>
      </c>
      <c r="J10" s="11" t="s">
        <v>70</v>
      </c>
      <c r="K10" s="11" t="s">
        <v>108</v>
      </c>
      <c r="L10" s="11" t="s">
        <v>121</v>
      </c>
    </row>
    <row r="11" spans="1:12" x14ac:dyDescent="0.45">
      <c r="A11" s="11" t="s">
        <v>81</v>
      </c>
      <c r="B11" s="11" t="s">
        <v>114</v>
      </c>
      <c r="C11" s="11" t="s">
        <v>227</v>
      </c>
      <c r="D11" s="11" t="s">
        <v>228</v>
      </c>
      <c r="E11" s="11" t="s">
        <v>229</v>
      </c>
      <c r="F11" s="11" t="s">
        <v>223</v>
      </c>
      <c r="G11" s="11" t="s">
        <v>213</v>
      </c>
      <c r="H11" s="11" t="s">
        <v>61</v>
      </c>
      <c r="I11" s="11" t="s">
        <v>62</v>
      </c>
      <c r="J11" s="11" t="s">
        <v>70</v>
      </c>
      <c r="K11" s="11" t="s">
        <v>108</v>
      </c>
      <c r="L11" s="11" t="s">
        <v>121</v>
      </c>
    </row>
    <row r="12" spans="1:12" x14ac:dyDescent="0.45">
      <c r="A12" s="11" t="s">
        <v>81</v>
      </c>
      <c r="B12" s="11" t="s">
        <v>114</v>
      </c>
      <c r="C12" s="11" t="s">
        <v>230</v>
      </c>
      <c r="D12" s="11" t="s">
        <v>231</v>
      </c>
      <c r="E12" s="11" t="s">
        <v>232</v>
      </c>
      <c r="F12" s="11" t="s">
        <v>233</v>
      </c>
      <c r="G12" s="11" t="s">
        <v>234</v>
      </c>
      <c r="H12" s="11" t="s">
        <v>61</v>
      </c>
      <c r="I12" s="11" t="s">
        <v>62</v>
      </c>
      <c r="J12" s="11" t="s">
        <v>70</v>
      </c>
      <c r="K12" s="11" t="s">
        <v>108</v>
      </c>
      <c r="L12" s="11" t="s">
        <v>121</v>
      </c>
    </row>
    <row r="13" spans="1:12" x14ac:dyDescent="0.45">
      <c r="A13" s="11" t="s">
        <v>81</v>
      </c>
      <c r="B13" s="11" t="s">
        <v>114</v>
      </c>
      <c r="C13" s="11" t="s">
        <v>235</v>
      </c>
      <c r="D13" s="11" t="s">
        <v>236</v>
      </c>
      <c r="E13" s="11" t="s">
        <v>237</v>
      </c>
      <c r="F13" s="11" t="s">
        <v>223</v>
      </c>
      <c r="G13" s="11" t="s">
        <v>213</v>
      </c>
      <c r="H13" s="11" t="s">
        <v>61</v>
      </c>
      <c r="I13" s="11" t="s">
        <v>62</v>
      </c>
      <c r="J13" s="11" t="s">
        <v>63</v>
      </c>
      <c r="K13" s="11" t="s">
        <v>108</v>
      </c>
      <c r="L13" s="11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/>
  </sheetViews>
  <sheetFormatPr defaultRowHeight="14.25" x14ac:dyDescent="0.45"/>
  <cols>
    <col min="1" max="1" width="25" customWidth="1"/>
    <col min="2" max="2" width="35" customWidth="1"/>
    <col min="3" max="3" width="42" customWidth="1"/>
    <col min="4" max="4" width="16" customWidth="1"/>
    <col min="5" max="5" width="10" customWidth="1"/>
    <col min="6" max="6" width="25" customWidth="1"/>
    <col min="7" max="7" width="30" customWidth="1"/>
    <col min="8" max="8" width="12" customWidth="1"/>
    <col min="9" max="9" width="15" customWidth="1"/>
    <col min="10" max="10" width="18" customWidth="1"/>
    <col min="11" max="11" width="35" customWidth="1"/>
    <col min="12" max="12" width="45" customWidth="1"/>
    <col min="13" max="13" width="50" customWidth="1"/>
  </cols>
  <sheetData>
    <row r="1" spans="1:13" x14ac:dyDescent="0.45">
      <c r="A1" s="3" t="s">
        <v>136</v>
      </c>
      <c r="B1" s="3" t="s">
        <v>137</v>
      </c>
      <c r="C1" s="3" t="s">
        <v>44</v>
      </c>
      <c r="D1" s="3" t="s">
        <v>138</v>
      </c>
      <c r="E1" s="3" t="s">
        <v>139</v>
      </c>
      <c r="F1" s="3" t="s">
        <v>53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</row>
    <row r="2" spans="1:13" ht="28.5" x14ac:dyDescent="0.45">
      <c r="A2" s="13" t="s">
        <v>238</v>
      </c>
      <c r="B2" s="13" t="s">
        <v>239</v>
      </c>
      <c r="C2" s="13" t="s">
        <v>200</v>
      </c>
      <c r="D2" s="13" t="s">
        <v>55</v>
      </c>
      <c r="E2" s="13" t="s">
        <v>71</v>
      </c>
      <c r="F2" s="13" t="s">
        <v>75</v>
      </c>
      <c r="G2" s="13"/>
      <c r="H2" s="13"/>
      <c r="I2" s="13"/>
      <c r="J2" s="13" t="s">
        <v>240</v>
      </c>
      <c r="K2" s="13"/>
      <c r="L2" s="13" t="s">
        <v>241</v>
      </c>
      <c r="M2" s="13" t="s">
        <v>242</v>
      </c>
    </row>
    <row r="3" spans="1:13" x14ac:dyDescent="0.45">
      <c r="A3" s="13" t="s">
        <v>243</v>
      </c>
      <c r="B3" s="13" t="s">
        <v>244</v>
      </c>
      <c r="C3" s="13" t="s">
        <v>204</v>
      </c>
      <c r="D3" s="13" t="s">
        <v>55</v>
      </c>
      <c r="E3" s="13" t="s">
        <v>71</v>
      </c>
      <c r="F3" s="13" t="s">
        <v>75</v>
      </c>
      <c r="G3" s="13"/>
      <c r="H3" s="13"/>
      <c r="I3" s="13"/>
      <c r="J3" s="13" t="s">
        <v>206</v>
      </c>
      <c r="K3" s="13"/>
      <c r="L3" s="13" t="s">
        <v>245</v>
      </c>
      <c r="M3" s="13" t="s">
        <v>246</v>
      </c>
    </row>
    <row r="4" spans="1:13" x14ac:dyDescent="0.45">
      <c r="A4" s="13" t="s">
        <v>247</v>
      </c>
      <c r="B4" s="13" t="s">
        <v>160</v>
      </c>
      <c r="C4" s="13" t="s">
        <v>204</v>
      </c>
      <c r="D4" s="13" t="s">
        <v>55</v>
      </c>
      <c r="E4" s="13" t="s">
        <v>71</v>
      </c>
      <c r="F4" s="13" t="s">
        <v>109</v>
      </c>
      <c r="G4" s="13"/>
      <c r="H4" s="13"/>
      <c r="I4" s="13"/>
      <c r="J4" s="13" t="s">
        <v>206</v>
      </c>
      <c r="K4" s="13"/>
      <c r="L4" s="13" t="s">
        <v>248</v>
      </c>
      <c r="M4" s="13"/>
    </row>
    <row r="5" spans="1:13" x14ac:dyDescent="0.45">
      <c r="A5" s="14" t="s">
        <v>249</v>
      </c>
      <c r="B5" s="14" t="s">
        <v>250</v>
      </c>
      <c r="C5" s="14" t="s">
        <v>210</v>
      </c>
      <c r="D5" s="14" t="s">
        <v>81</v>
      </c>
      <c r="E5" s="14" t="s">
        <v>56</v>
      </c>
      <c r="F5" s="14" t="s">
        <v>88</v>
      </c>
      <c r="G5" s="14"/>
      <c r="H5" s="14"/>
      <c r="I5" s="14"/>
      <c r="J5" s="14" t="s">
        <v>212</v>
      </c>
      <c r="K5" s="14"/>
      <c r="L5" s="14" t="s">
        <v>251</v>
      </c>
      <c r="M5" s="14" t="s">
        <v>252</v>
      </c>
    </row>
    <row r="6" spans="1:13" ht="28.5" x14ac:dyDescent="0.45">
      <c r="A6" s="14" t="s">
        <v>253</v>
      </c>
      <c r="B6" s="14" t="s">
        <v>254</v>
      </c>
      <c r="C6" s="14" t="s">
        <v>210</v>
      </c>
      <c r="D6" s="14" t="s">
        <v>81</v>
      </c>
      <c r="E6" s="14" t="s">
        <v>56</v>
      </c>
      <c r="F6" s="14" t="s">
        <v>255</v>
      </c>
      <c r="G6" s="14"/>
      <c r="H6" s="14"/>
      <c r="I6" s="14"/>
      <c r="J6" s="14"/>
      <c r="K6" s="14"/>
      <c r="L6" s="14" t="s">
        <v>256</v>
      </c>
      <c r="M6" s="14" t="s">
        <v>257</v>
      </c>
    </row>
    <row r="7" spans="1:13" ht="28.5" x14ac:dyDescent="0.45">
      <c r="A7" s="14" t="s">
        <v>258</v>
      </c>
      <c r="B7" s="14" t="s">
        <v>244</v>
      </c>
      <c r="C7" s="14" t="s">
        <v>216</v>
      </c>
      <c r="D7" s="14" t="s">
        <v>81</v>
      </c>
      <c r="E7" s="14" t="s">
        <v>71</v>
      </c>
      <c r="F7" s="14" t="s">
        <v>109</v>
      </c>
      <c r="G7" s="14"/>
      <c r="H7" s="14"/>
      <c r="I7" s="14"/>
      <c r="J7" s="14"/>
      <c r="K7" s="14"/>
      <c r="L7" s="14" t="s">
        <v>259</v>
      </c>
      <c r="M7" s="14" t="s">
        <v>260</v>
      </c>
    </row>
    <row r="8" spans="1:13" x14ac:dyDescent="0.45">
      <c r="A8" s="14" t="s">
        <v>261</v>
      </c>
      <c r="B8" s="14" t="s">
        <v>148</v>
      </c>
      <c r="C8" s="14" t="s">
        <v>230</v>
      </c>
      <c r="D8" s="14" t="s">
        <v>81</v>
      </c>
      <c r="E8" s="14" t="s">
        <v>114</v>
      </c>
      <c r="F8" s="14" t="s">
        <v>121</v>
      </c>
      <c r="G8" s="14"/>
      <c r="H8" s="14"/>
      <c r="I8" s="14"/>
      <c r="J8" s="14" t="s">
        <v>232</v>
      </c>
      <c r="K8" s="14"/>
      <c r="L8" s="14" t="s">
        <v>262</v>
      </c>
      <c r="M8" s="14" t="s">
        <v>263</v>
      </c>
    </row>
    <row r="9" spans="1:13" ht="28.5" x14ac:dyDescent="0.45">
      <c r="A9" s="14" t="s">
        <v>264</v>
      </c>
      <c r="B9" s="14" t="s">
        <v>265</v>
      </c>
      <c r="C9" s="14" t="s">
        <v>220</v>
      </c>
      <c r="D9" s="14" t="s">
        <v>81</v>
      </c>
      <c r="E9" s="14" t="s">
        <v>114</v>
      </c>
      <c r="F9" s="14" t="s">
        <v>121</v>
      </c>
      <c r="G9" s="14"/>
      <c r="H9" s="14"/>
      <c r="I9" s="14"/>
      <c r="J9" s="14" t="s">
        <v>266</v>
      </c>
      <c r="K9" s="14"/>
      <c r="L9" s="14" t="s">
        <v>267</v>
      </c>
      <c r="M9" s="14" t="s">
        <v>268</v>
      </c>
    </row>
    <row r="10" spans="1:13" x14ac:dyDescent="0.45">
      <c r="A10" s="14" t="s">
        <v>269</v>
      </c>
      <c r="B10" s="14" t="s">
        <v>160</v>
      </c>
      <c r="C10" s="14" t="s">
        <v>220</v>
      </c>
      <c r="D10" s="14" t="s">
        <v>81</v>
      </c>
      <c r="E10" s="14" t="s">
        <v>114</v>
      </c>
      <c r="F10" s="14" t="s">
        <v>121</v>
      </c>
      <c r="G10" s="14"/>
      <c r="H10" s="14"/>
      <c r="I10" s="14"/>
      <c r="J10" s="14" t="s">
        <v>266</v>
      </c>
      <c r="K10" s="14"/>
      <c r="L10" s="14" t="s">
        <v>270</v>
      </c>
      <c r="M10" s="14"/>
    </row>
    <row r="11" spans="1:13" ht="28.5" x14ac:dyDescent="0.45">
      <c r="A11" s="14" t="s">
        <v>271</v>
      </c>
      <c r="B11" s="14" t="s">
        <v>272</v>
      </c>
      <c r="C11" s="14" t="s">
        <v>224</v>
      </c>
      <c r="D11" s="14" t="s">
        <v>81</v>
      </c>
      <c r="E11" s="14" t="s">
        <v>114</v>
      </c>
      <c r="F11" s="14" t="s">
        <v>121</v>
      </c>
      <c r="G11" s="14"/>
      <c r="H11" s="14"/>
      <c r="I11" s="14"/>
      <c r="J11" s="14" t="s">
        <v>273</v>
      </c>
      <c r="K11" s="14"/>
      <c r="L11" s="14" t="s">
        <v>274</v>
      </c>
      <c r="M11" s="14" t="s">
        <v>275</v>
      </c>
    </row>
    <row r="12" spans="1:13" x14ac:dyDescent="0.45">
      <c r="A12" s="14" t="s">
        <v>276</v>
      </c>
      <c r="B12" s="14" t="s">
        <v>160</v>
      </c>
      <c r="C12" s="14" t="s">
        <v>224</v>
      </c>
      <c r="D12" s="14" t="s">
        <v>81</v>
      </c>
      <c r="E12" s="14" t="s">
        <v>114</v>
      </c>
      <c r="F12" s="14" t="s">
        <v>121</v>
      </c>
      <c r="G12" s="14"/>
      <c r="H12" s="14"/>
      <c r="I12" s="14"/>
      <c r="J12" s="14" t="s">
        <v>273</v>
      </c>
      <c r="K12" s="14"/>
      <c r="L12" s="14" t="s">
        <v>277</v>
      </c>
      <c r="M12" s="14"/>
    </row>
    <row r="13" spans="1:13" x14ac:dyDescent="0.45">
      <c r="A13" s="14" t="s">
        <v>278</v>
      </c>
      <c r="B13" s="14" t="s">
        <v>279</v>
      </c>
      <c r="C13" s="14" t="s">
        <v>227</v>
      </c>
      <c r="D13" s="14" t="s">
        <v>81</v>
      </c>
      <c r="E13" s="14" t="s">
        <v>114</v>
      </c>
      <c r="F13" s="14" t="s">
        <v>121</v>
      </c>
      <c r="G13" s="14"/>
      <c r="H13" s="14"/>
      <c r="I13" s="14"/>
      <c r="J13" s="14" t="s">
        <v>280</v>
      </c>
      <c r="K13" s="14"/>
      <c r="L13" s="14" t="s">
        <v>281</v>
      </c>
      <c r="M13" s="14" t="s">
        <v>282</v>
      </c>
    </row>
    <row r="14" spans="1:13" ht="28.5" x14ac:dyDescent="0.45">
      <c r="A14" s="14" t="s">
        <v>283</v>
      </c>
      <c r="B14" s="14" t="s">
        <v>284</v>
      </c>
      <c r="C14" s="14" t="s">
        <v>235</v>
      </c>
      <c r="D14" s="14" t="s">
        <v>81</v>
      </c>
      <c r="E14" s="14" t="s">
        <v>114</v>
      </c>
      <c r="F14" s="14" t="s">
        <v>285</v>
      </c>
      <c r="G14" s="14"/>
      <c r="H14" s="14"/>
      <c r="I14" s="14"/>
      <c r="J14" s="14" t="s">
        <v>286</v>
      </c>
      <c r="K14" s="14"/>
      <c r="L14" s="14" t="s">
        <v>287</v>
      </c>
      <c r="M14" s="14" t="s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tabSelected="1" workbookViewId="0"/>
  </sheetViews>
  <sheetFormatPr defaultRowHeight="14.25" x14ac:dyDescent="0.45"/>
  <cols>
    <col min="1" max="1" width="18" customWidth="1"/>
    <col min="2" max="2" width="10" customWidth="1"/>
    <col min="3" max="3" width="35" customWidth="1"/>
    <col min="4" max="4" width="25" customWidth="1"/>
    <col min="5" max="5" width="15" customWidth="1"/>
    <col min="6" max="6" width="30" customWidth="1"/>
    <col min="7" max="7" width="15" customWidth="1"/>
    <col min="8" max="8" width="10" customWidth="1"/>
    <col min="9" max="9" width="15" customWidth="1"/>
    <col min="10" max="10" width="13" customWidth="1"/>
    <col min="11" max="11" width="25" customWidth="1"/>
    <col min="12" max="12" width="13" customWidth="1"/>
  </cols>
  <sheetData>
    <row r="1" spans="1:12" x14ac:dyDescent="0.4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 x14ac:dyDescent="0.45">
      <c r="A2" s="9" t="s">
        <v>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45">
      <c r="A3" s="10" t="s">
        <v>55</v>
      </c>
      <c r="B3" s="10" t="s">
        <v>56</v>
      </c>
      <c r="C3" s="10" t="s">
        <v>289</v>
      </c>
      <c r="D3" s="10" t="s">
        <v>290</v>
      </c>
      <c r="E3" s="10" t="s">
        <v>291</v>
      </c>
      <c r="F3" s="10" t="s">
        <v>29</v>
      </c>
      <c r="G3" s="10" t="s">
        <v>92</v>
      </c>
      <c r="H3" s="10" t="s">
        <v>292</v>
      </c>
      <c r="I3" s="10" t="s">
        <v>293</v>
      </c>
      <c r="J3" s="10"/>
      <c r="K3" s="10" t="s">
        <v>64</v>
      </c>
      <c r="L3" s="10" t="s">
        <v>65</v>
      </c>
    </row>
    <row r="4" spans="1:12" x14ac:dyDescent="0.45">
      <c r="A4" s="10" t="s">
        <v>55</v>
      </c>
      <c r="B4" s="10" t="s">
        <v>56</v>
      </c>
      <c r="C4" s="10" t="s">
        <v>294</v>
      </c>
      <c r="D4" s="10" t="s">
        <v>295</v>
      </c>
      <c r="E4" s="10" t="s">
        <v>296</v>
      </c>
      <c r="F4" s="10" t="s">
        <v>29</v>
      </c>
      <c r="G4" s="10" t="s">
        <v>92</v>
      </c>
      <c r="H4" s="10" t="s">
        <v>297</v>
      </c>
      <c r="I4" s="10" t="s">
        <v>298</v>
      </c>
      <c r="J4" s="10"/>
      <c r="K4" s="10" t="s">
        <v>64</v>
      </c>
      <c r="L4" s="10" t="s">
        <v>65</v>
      </c>
    </row>
    <row r="5" spans="1:12" x14ac:dyDescent="0.45">
      <c r="A5" s="10" t="s">
        <v>55</v>
      </c>
      <c r="B5" s="10" t="s">
        <v>56</v>
      </c>
      <c r="C5" s="10" t="s">
        <v>57</v>
      </c>
      <c r="D5" s="10" t="s">
        <v>58</v>
      </c>
      <c r="E5" s="10" t="s">
        <v>291</v>
      </c>
      <c r="F5" s="10" t="s">
        <v>299</v>
      </c>
      <c r="G5" s="10" t="s">
        <v>92</v>
      </c>
      <c r="H5" s="10" t="s">
        <v>300</v>
      </c>
      <c r="I5" s="10" t="s">
        <v>301</v>
      </c>
      <c r="J5" s="10"/>
      <c r="K5" s="10" t="s">
        <v>64</v>
      </c>
      <c r="L5" s="10" t="s">
        <v>65</v>
      </c>
    </row>
    <row r="6" spans="1:12" x14ac:dyDescent="0.45">
      <c r="A6" s="10" t="s">
        <v>55</v>
      </c>
      <c r="B6" s="10" t="s">
        <v>71</v>
      </c>
      <c r="C6" s="10" t="s">
        <v>302</v>
      </c>
      <c r="D6" s="10" t="s">
        <v>303</v>
      </c>
      <c r="E6" s="10" t="s">
        <v>304</v>
      </c>
      <c r="F6" s="10" t="s">
        <v>29</v>
      </c>
      <c r="G6" s="10" t="s">
        <v>92</v>
      </c>
      <c r="H6" s="10" t="s">
        <v>305</v>
      </c>
      <c r="I6" s="10" t="s">
        <v>306</v>
      </c>
      <c r="J6" s="10"/>
      <c r="K6" s="10" t="s">
        <v>64</v>
      </c>
      <c r="L6" s="10" t="s">
        <v>75</v>
      </c>
    </row>
    <row r="7" spans="1:12" x14ac:dyDescent="0.45">
      <c r="A7" s="10" t="s">
        <v>55</v>
      </c>
      <c r="B7" s="10" t="s">
        <v>71</v>
      </c>
      <c r="C7" s="10" t="s">
        <v>307</v>
      </c>
      <c r="D7" s="10" t="s">
        <v>308</v>
      </c>
      <c r="E7" s="10" t="s">
        <v>309</v>
      </c>
      <c r="F7" s="10" t="s">
        <v>310</v>
      </c>
      <c r="G7" s="10" t="s">
        <v>92</v>
      </c>
      <c r="H7" s="10" t="s">
        <v>311</v>
      </c>
      <c r="I7" s="10" t="s">
        <v>312</v>
      </c>
      <c r="J7" s="10"/>
      <c r="K7" s="10" t="s">
        <v>64</v>
      </c>
      <c r="L7" s="10" t="s">
        <v>75</v>
      </c>
    </row>
    <row r="9" spans="1:12" x14ac:dyDescent="0.45">
      <c r="A9" s="9" t="s">
        <v>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45">
      <c r="A10" s="11" t="s">
        <v>81</v>
      </c>
      <c r="B10" s="11" t="s">
        <v>56</v>
      </c>
      <c r="C10" s="11" t="s">
        <v>210</v>
      </c>
      <c r="D10" s="11" t="s">
        <v>211</v>
      </c>
      <c r="E10" s="11" t="s">
        <v>291</v>
      </c>
      <c r="F10" s="11" t="s">
        <v>29</v>
      </c>
      <c r="G10" s="11" t="s">
        <v>92</v>
      </c>
      <c r="H10" s="11" t="s">
        <v>214</v>
      </c>
      <c r="I10" s="11" t="s">
        <v>313</v>
      </c>
      <c r="J10" s="11"/>
      <c r="K10" s="11" t="s">
        <v>87</v>
      </c>
      <c r="L10" s="11" t="s">
        <v>88</v>
      </c>
    </row>
    <row r="11" spans="1:12" x14ac:dyDescent="0.45">
      <c r="A11" s="11" t="s">
        <v>81</v>
      </c>
      <c r="B11" s="11" t="s">
        <v>114</v>
      </c>
      <c r="C11" s="11" t="s">
        <v>122</v>
      </c>
      <c r="D11" s="11" t="s">
        <v>314</v>
      </c>
      <c r="E11" s="11" t="s">
        <v>291</v>
      </c>
      <c r="F11" s="11" t="s">
        <v>315</v>
      </c>
      <c r="G11" s="11" t="s">
        <v>92</v>
      </c>
      <c r="H11" s="11" t="s">
        <v>316</v>
      </c>
      <c r="I11" s="11" t="s">
        <v>317</v>
      </c>
      <c r="J11" s="11"/>
      <c r="K11" s="11" t="s">
        <v>108</v>
      </c>
      <c r="L11" s="11" t="s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/>
  </sheetViews>
  <sheetFormatPr defaultRowHeight="14.25" x14ac:dyDescent="0.45"/>
  <cols>
    <col min="1" max="1" width="25" customWidth="1"/>
    <col min="2" max="2" width="38" customWidth="1"/>
    <col min="3" max="3" width="42" customWidth="1"/>
    <col min="4" max="4" width="16" customWidth="1"/>
    <col min="5" max="5" width="10" customWidth="1"/>
    <col min="6" max="6" width="25" customWidth="1"/>
    <col min="7" max="7" width="30" customWidth="1"/>
    <col min="8" max="8" width="12" customWidth="1"/>
    <col min="9" max="9" width="15" customWidth="1"/>
    <col min="10" max="10" width="18" customWidth="1"/>
    <col min="11" max="11" width="35" customWidth="1"/>
    <col min="12" max="12" width="50" customWidth="1"/>
    <col min="13" max="13" width="55" customWidth="1"/>
  </cols>
  <sheetData>
    <row r="1" spans="1:13" x14ac:dyDescent="0.45">
      <c r="A1" s="3" t="s">
        <v>136</v>
      </c>
      <c r="B1" s="3" t="s">
        <v>137</v>
      </c>
      <c r="C1" s="3" t="s">
        <v>44</v>
      </c>
      <c r="D1" s="3" t="s">
        <v>138</v>
      </c>
      <c r="E1" s="3" t="s">
        <v>139</v>
      </c>
      <c r="F1" s="3" t="s">
        <v>53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</row>
    <row r="2" spans="1:13" ht="28.5" x14ac:dyDescent="0.45">
      <c r="A2" s="13" t="s">
        <v>318</v>
      </c>
      <c r="B2" s="13" t="s">
        <v>319</v>
      </c>
      <c r="C2" s="13" t="s">
        <v>289</v>
      </c>
      <c r="D2" s="13" t="s">
        <v>55</v>
      </c>
      <c r="E2" s="13" t="s">
        <v>56</v>
      </c>
      <c r="F2" s="13" t="s">
        <v>65</v>
      </c>
      <c r="G2" s="13"/>
      <c r="H2" s="13"/>
      <c r="I2" s="13"/>
      <c r="J2" s="13"/>
      <c r="K2" s="13"/>
      <c r="L2" s="13" t="s">
        <v>320</v>
      </c>
      <c r="M2" s="13" t="s">
        <v>321</v>
      </c>
    </row>
    <row r="3" spans="1:13" x14ac:dyDescent="0.45">
      <c r="A3" s="13" t="s">
        <v>322</v>
      </c>
      <c r="B3" s="13" t="s">
        <v>175</v>
      </c>
      <c r="C3" s="13" t="s">
        <v>289</v>
      </c>
      <c r="D3" s="13" t="s">
        <v>55</v>
      </c>
      <c r="E3" s="13" t="s">
        <v>56</v>
      </c>
      <c r="F3" s="13" t="s">
        <v>75</v>
      </c>
      <c r="G3" s="13"/>
      <c r="H3" s="13"/>
      <c r="I3" s="13"/>
      <c r="J3" s="13"/>
      <c r="K3" s="13"/>
      <c r="L3" s="13" t="s">
        <v>323</v>
      </c>
      <c r="M3" s="13"/>
    </row>
    <row r="4" spans="1:13" ht="28.5" x14ac:dyDescent="0.45">
      <c r="A4" s="13" t="s">
        <v>324</v>
      </c>
      <c r="B4" s="13" t="s">
        <v>192</v>
      </c>
      <c r="C4" s="13" t="s">
        <v>294</v>
      </c>
      <c r="D4" s="13" t="s">
        <v>55</v>
      </c>
      <c r="E4" s="13" t="s">
        <v>56</v>
      </c>
      <c r="F4" s="13" t="s">
        <v>65</v>
      </c>
      <c r="G4" s="13"/>
      <c r="H4" s="13"/>
      <c r="I4" s="13"/>
      <c r="J4" s="13" t="s">
        <v>296</v>
      </c>
      <c r="K4" s="13"/>
      <c r="L4" s="13" t="s">
        <v>325</v>
      </c>
      <c r="M4" s="13" t="s">
        <v>326</v>
      </c>
    </row>
    <row r="5" spans="1:13" x14ac:dyDescent="0.45">
      <c r="A5" s="13" t="s">
        <v>147</v>
      </c>
      <c r="B5" s="13" t="s">
        <v>148</v>
      </c>
      <c r="C5" s="13" t="s">
        <v>57</v>
      </c>
      <c r="D5" s="13" t="s">
        <v>55</v>
      </c>
      <c r="E5" s="13" t="s">
        <v>56</v>
      </c>
      <c r="F5" s="13" t="s">
        <v>65</v>
      </c>
      <c r="G5" s="13"/>
      <c r="H5" s="13"/>
      <c r="I5" s="13"/>
      <c r="J5" s="13"/>
      <c r="K5" s="13" t="s">
        <v>149</v>
      </c>
      <c r="L5" s="13" t="s">
        <v>327</v>
      </c>
      <c r="M5" s="13" t="s">
        <v>328</v>
      </c>
    </row>
    <row r="6" spans="1:13" ht="28.5" x14ac:dyDescent="0.45">
      <c r="A6" s="13" t="s">
        <v>329</v>
      </c>
      <c r="B6" s="13" t="s">
        <v>330</v>
      </c>
      <c r="C6" s="13" t="s">
        <v>302</v>
      </c>
      <c r="D6" s="13" t="s">
        <v>55</v>
      </c>
      <c r="E6" s="13" t="s">
        <v>71</v>
      </c>
      <c r="F6" s="13" t="s">
        <v>75</v>
      </c>
      <c r="G6" s="13"/>
      <c r="H6" s="13"/>
      <c r="I6" s="13"/>
      <c r="J6" s="13" t="s">
        <v>304</v>
      </c>
      <c r="K6" s="13"/>
      <c r="L6" s="13" t="s">
        <v>331</v>
      </c>
      <c r="M6" s="13" t="s">
        <v>332</v>
      </c>
    </row>
    <row r="7" spans="1:13" ht="28.5" x14ac:dyDescent="0.45">
      <c r="A7" s="13" t="s">
        <v>333</v>
      </c>
      <c r="B7" s="13" t="s">
        <v>334</v>
      </c>
      <c r="C7" s="13" t="s">
        <v>307</v>
      </c>
      <c r="D7" s="13" t="s">
        <v>55</v>
      </c>
      <c r="E7" s="13" t="s">
        <v>71</v>
      </c>
      <c r="F7" s="13" t="s">
        <v>109</v>
      </c>
      <c r="G7" s="13"/>
      <c r="H7" s="13"/>
      <c r="I7" s="13"/>
      <c r="J7" s="13" t="s">
        <v>309</v>
      </c>
      <c r="K7" s="13"/>
      <c r="L7" s="13" t="s">
        <v>335</v>
      </c>
      <c r="M7" s="13" t="s">
        <v>336</v>
      </c>
    </row>
    <row r="8" spans="1:13" x14ac:dyDescent="0.45">
      <c r="A8" s="13" t="s">
        <v>337</v>
      </c>
      <c r="B8" s="13" t="s">
        <v>175</v>
      </c>
      <c r="C8" s="13" t="s">
        <v>307</v>
      </c>
      <c r="D8" s="13" t="s">
        <v>55</v>
      </c>
      <c r="E8" s="13" t="s">
        <v>71</v>
      </c>
      <c r="F8" s="13" t="s">
        <v>109</v>
      </c>
      <c r="G8" s="13"/>
      <c r="H8" s="13"/>
      <c r="I8" s="13"/>
      <c r="J8" s="13" t="s">
        <v>309</v>
      </c>
      <c r="K8" s="13"/>
      <c r="L8" s="13" t="s">
        <v>338</v>
      </c>
      <c r="M8" s="13" t="s">
        <v>339</v>
      </c>
    </row>
    <row r="9" spans="1:13" ht="28.5" x14ac:dyDescent="0.45">
      <c r="A9" s="14" t="s">
        <v>340</v>
      </c>
      <c r="B9" s="14" t="s">
        <v>341</v>
      </c>
      <c r="C9" s="14" t="s">
        <v>210</v>
      </c>
      <c r="D9" s="14" t="s">
        <v>81</v>
      </c>
      <c r="E9" s="14" t="s">
        <v>56</v>
      </c>
      <c r="F9" s="14" t="s">
        <v>88</v>
      </c>
      <c r="G9" s="14"/>
      <c r="H9" s="14"/>
      <c r="I9" s="14"/>
      <c r="J9" s="14"/>
      <c r="K9" s="14"/>
      <c r="L9" s="14" t="s">
        <v>342</v>
      </c>
      <c r="M9" s="14" t="s">
        <v>343</v>
      </c>
    </row>
    <row r="10" spans="1:13" ht="28.5" x14ac:dyDescent="0.45">
      <c r="A10" s="14" t="s">
        <v>344</v>
      </c>
      <c r="B10" s="14" t="s">
        <v>345</v>
      </c>
      <c r="C10" s="14" t="s">
        <v>210</v>
      </c>
      <c r="D10" s="14" t="s">
        <v>81</v>
      </c>
      <c r="E10" s="14" t="s">
        <v>56</v>
      </c>
      <c r="F10" s="14" t="s">
        <v>88</v>
      </c>
      <c r="G10" s="14"/>
      <c r="H10" s="14"/>
      <c r="I10" s="14"/>
      <c r="J10" s="14"/>
      <c r="K10" s="14"/>
      <c r="L10" s="14" t="s">
        <v>346</v>
      </c>
      <c r="M10" s="14" t="s">
        <v>347</v>
      </c>
    </row>
    <row r="11" spans="1:13" ht="28.5" x14ac:dyDescent="0.45">
      <c r="A11" s="14" t="s">
        <v>348</v>
      </c>
      <c r="B11" s="14" t="s">
        <v>160</v>
      </c>
      <c r="C11" s="14" t="s">
        <v>210</v>
      </c>
      <c r="D11" s="14" t="s">
        <v>81</v>
      </c>
      <c r="E11" s="14" t="s">
        <v>56</v>
      </c>
      <c r="F11" s="14" t="s">
        <v>88</v>
      </c>
      <c r="G11" s="14"/>
      <c r="H11" s="14"/>
      <c r="I11" s="14"/>
      <c r="J11" s="14"/>
      <c r="K11" s="14"/>
      <c r="L11" s="14" t="s">
        <v>349</v>
      </c>
      <c r="M11" s="14" t="s">
        <v>350</v>
      </c>
    </row>
    <row r="12" spans="1:13" ht="28.5" x14ac:dyDescent="0.45">
      <c r="A12" s="14" t="s">
        <v>351</v>
      </c>
      <c r="B12" s="14" t="s">
        <v>284</v>
      </c>
      <c r="C12" s="14" t="s">
        <v>122</v>
      </c>
      <c r="D12" s="14" t="s">
        <v>81</v>
      </c>
      <c r="E12" s="14" t="s">
        <v>114</v>
      </c>
      <c r="F12" s="14" t="s">
        <v>121</v>
      </c>
      <c r="G12" s="14"/>
      <c r="H12" s="14"/>
      <c r="I12" s="14"/>
      <c r="J12" s="14" t="s">
        <v>352</v>
      </c>
      <c r="K12" s="14"/>
      <c r="L12" s="14" t="s">
        <v>353</v>
      </c>
      <c r="M12" s="14" t="s">
        <v>354</v>
      </c>
    </row>
    <row r="13" spans="1:13" x14ac:dyDescent="0.4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&amp; Summary</vt:lpstr>
      <vt:lpstr>South Florida - Firms</vt:lpstr>
      <vt:lpstr>South Florida - Contacts</vt:lpstr>
      <vt:lpstr>Central Florida - Firms</vt:lpstr>
      <vt:lpstr>Central Florida - Contacts</vt:lpstr>
      <vt:lpstr>North Florida - Firms</vt:lpstr>
      <vt:lpstr>North Florida -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Weiss</cp:lastModifiedBy>
  <dcterms:created xsi:type="dcterms:W3CDTF">2025-12-15T13:38:38Z</dcterms:created>
  <dcterms:modified xsi:type="dcterms:W3CDTF">2025-12-15T14:18:21Z</dcterms:modified>
</cp:coreProperties>
</file>
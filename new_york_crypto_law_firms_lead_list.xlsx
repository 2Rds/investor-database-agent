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2" autoFilterDateGrouping="1"/>
  </bookViews>
  <sheets>
    <sheet xmlns:r="http://schemas.openxmlformats.org/officeDocument/2006/relationships" name="Overview &amp; Summary" sheetId="1" state="visible" r:id="rId1"/>
    <sheet xmlns:r="http://schemas.openxmlformats.org/officeDocument/2006/relationships" name="Manhattan - Firms" sheetId="2" state="visible" r:id="rId2"/>
    <sheet xmlns:r="http://schemas.openxmlformats.org/officeDocument/2006/relationships" name="Manhattan - Contacts" sheetId="3" state="visible" r:id="rId3"/>
    <sheet xmlns:r="http://schemas.openxmlformats.org/officeDocument/2006/relationships" name="Brooklyn &amp; Boroughs - Firms" sheetId="4" state="visible" r:id="rId4"/>
    <sheet xmlns:r="http://schemas.openxmlformats.org/officeDocument/2006/relationships" name="Brooklyn &amp; Boroughs - Contacts" sheetId="5" state="visible" r:id="rId5"/>
    <sheet xmlns:r="http://schemas.openxmlformats.org/officeDocument/2006/relationships" name="Upstate Industrial - Firms" sheetId="6" state="visible" r:id="rId6"/>
    <sheet xmlns:r="http://schemas.openxmlformats.org/officeDocument/2006/relationships" name="Upstate Industrial - Contacts" sheetId="7" state="visible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Cambria"/>
      <charset val="1"/>
      <b val="1"/>
      <color rgb="FF1F4E79"/>
      <sz val="16"/>
    </font>
    <font>
      <name val="Cambria"/>
      <charset val="1"/>
      <color rgb="FF666666"/>
      <sz val="12"/>
    </font>
    <font>
      <name val="Cambria"/>
      <charset val="1"/>
      <b val="1"/>
      <color rgb="FFFFFFFF"/>
      <sz val="11"/>
    </font>
    <font>
      <name val="Cambria"/>
      <charset val="1"/>
      <b val="1"/>
      <color rgb="FFFFFFFF"/>
      <sz val="10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b val="1"/>
      <color rgb="FFFFFFFF"/>
      <sz val="11"/>
    </font>
    <font>
      <b val="1"/>
      <color rgb="00FFFFFF"/>
    </font>
    <font/>
    <font>
      <b val="1"/>
      <sz val="16"/>
    </font>
    <font>
      <color rgb="00666666"/>
      <sz val="11"/>
    </font>
    <font>
      <b val="1"/>
      <sz val="11"/>
    </font>
    <font>
      <b val="1"/>
    </font>
  </fonts>
  <fills count="12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1F4E78"/>
        <bgColor rgb="FF1F4E78"/>
      </patternFill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7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8" fillId="10" borderId="0" applyAlignment="1" pivotButton="0" quotePrefix="0" xfId="0">
      <alignment horizontal="center"/>
    </xf>
    <xf numFmtId="0" fontId="10" fillId="0" borderId="6" pivotButton="0" quotePrefix="0" xfId="0"/>
    <xf numFmtId="0" fontId="9" fillId="0" borderId="6" pivotButton="0" quotePrefix="0" xfId="0"/>
    <xf numFmtId="0" fontId="11" fillId="0" borderId="6" pivotButton="0" quotePrefix="0" xfId="0"/>
    <xf numFmtId="0" fontId="12" fillId="0" borderId="6" pivotButton="0" quotePrefix="0" xfId="0"/>
    <xf numFmtId="0" fontId="8" fillId="10" borderId="7" applyAlignment="1" pivotButton="0" quotePrefix="0" xfId="0">
      <alignment horizontal="center"/>
    </xf>
    <xf numFmtId="0" fontId="9" fillId="0" borderId="7" pivotButton="0" quotePrefix="0" xfId="0"/>
    <xf numFmtId="0" fontId="13" fillId="0" borderId="7" pivotButton="0" quotePrefix="0" xfId="0"/>
    <xf numFmtId="0" fontId="9" fillId="0" borderId="7" applyAlignment="1" pivotButton="0" quotePrefix="0" xfId="0">
      <alignment wrapText="1"/>
    </xf>
    <xf numFmtId="0" fontId="12" fillId="11" borderId="7" pivotButton="0" quotePrefix="0" xfId="0"/>
    <xf numFmtId="0" fontId="0" fillId="11" borderId="7" pivotButton="0" quotePrefix="0" xfId="0"/>
    <xf numFmtId="0" fontId="0" fillId="0" borderId="7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zoomScaleNormal="100" workbookViewId="0">
      <selection activeCell="A1" sqref="A1:H1"/>
    </sheetView>
  </sheetViews>
  <sheetFormatPr baseColWidth="8" defaultColWidth="8.6640625" defaultRowHeight="14.25"/>
  <cols>
    <col width="28" customWidth="1" style="17" min="1" max="1"/>
    <col width="18" customWidth="1" style="17" min="2" max="2"/>
    <col width="22" customWidth="1" style="17" min="3" max="3"/>
    <col width="20" customWidth="1" style="17" min="4" max="4"/>
    <col width="18" customWidth="1" style="17" min="5" max="5"/>
    <col width="15" customWidth="1" style="17" min="6" max="8"/>
  </cols>
  <sheetData>
    <row r="1" ht="20.25" customHeight="1" s="17">
      <c r="A1" s="20" t="inlineStr">
        <is>
          <t>BlockDrive - New York Crypto/Blockchain Law Firms Lead Database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</row>
    <row r="2" ht="15" customHeight="1" s="17">
      <c r="A2" s="22" t="inlineStr">
        <is>
          <t>Complete Lead Generation &amp; Prioritization System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</row>
    <row r="3">
      <c r="A3" s="22" t="inlineStr">
        <is>
          <t>Last Updated: December 2025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</row>
    <row r="4" ht="15" customHeight="1" s="17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</row>
    <row r="5">
      <c r="A5" s="23" t="inlineStr">
        <is>
          <t>SUMMARY STATISTICS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</row>
    <row r="6">
      <c r="A6" s="24" t="inlineStr">
        <is>
          <t>Region</t>
        </is>
      </c>
      <c r="B6" s="24" t="inlineStr">
        <is>
          <t>Total Firms</t>
        </is>
      </c>
      <c r="C6" s="24" t="inlineStr">
        <is>
          <t>Specialty Firms</t>
        </is>
      </c>
      <c r="D6" s="24" t="inlineStr">
        <is>
          <t>General w/ Crypto</t>
        </is>
      </c>
      <c r="E6" s="24" t="inlineStr">
        <is>
          <t>Contacts</t>
        </is>
      </c>
      <c r="F6" s="24" t="inlineStr">
        <is>
          <t>Verified Emails</t>
        </is>
      </c>
      <c r="G6" s="21" t="n"/>
      <c r="H6" s="21" t="n"/>
      <c r="I6" s="21" t="n"/>
      <c r="J6" s="21" t="n"/>
      <c r="K6" s="21" t="n"/>
    </row>
    <row r="7">
      <c r="A7" s="25" t="inlineStr">
        <is>
          <t>Manhattan</t>
        </is>
      </c>
      <c r="B7" s="25">
        <f>COUNTA('Manhattan - Firms'!C:C)-1</f>
        <v/>
      </c>
      <c r="C7" s="25">
        <f>COUNTIF('Manhattan - Firms'!A:A,"Crypto/Blockchain Specialty")+COUNTIF('Manhattan - Firms'!A:A,"Specialty")</f>
        <v/>
      </c>
      <c r="D7" s="25">
        <f>COUNTIF('Manhattan - Firms'!A:A,"General Firm w/ Crypto Practice")+COUNTIF('Manhattan - Firms'!A:A,"General + Crypto")</f>
        <v/>
      </c>
      <c r="E7" s="25">
        <f>COUNTA('Manhattan - Contacts'!A:A)-1</f>
        <v/>
      </c>
      <c r="F7" s="25">
        <f>COUNTIF('Manhattan - Contacts'!H:H,"Verified")</f>
        <v/>
      </c>
      <c r="G7" s="21" t="n"/>
      <c r="H7" s="21" t="n"/>
      <c r="I7" s="21" t="n"/>
      <c r="J7" s="21" t="n"/>
      <c r="K7" s="21" t="n"/>
    </row>
    <row r="8">
      <c r="A8" s="25" t="inlineStr">
        <is>
          <t>Brooklyn &amp; Boroughs</t>
        </is>
      </c>
      <c r="B8" s="25">
        <f>COUNTA('Brooklyn &amp; Boroughs - Firms'!C:C)-1</f>
        <v/>
      </c>
      <c r="C8" s="25">
        <f>COUNTIF('Brooklyn &amp; Boroughs - Firms'!A:A,"Crypto/Blockchain Specialty")+COUNTIF('Brooklyn &amp; Boroughs - Firms'!A:A,"Specialty")</f>
        <v/>
      </c>
      <c r="D8" s="25">
        <f>COUNTIF('Brooklyn &amp; Boroughs - Firms'!A:A,"General Firm w/ Crypto Practice")+COUNTIF('Brooklyn &amp; Boroughs - Firms'!A:A,"General + Crypto")</f>
        <v/>
      </c>
      <c r="E8" s="25">
        <f>COUNTA('Brooklyn &amp; Boroughs - Contacts'!A:A)-1</f>
        <v/>
      </c>
      <c r="F8" s="25">
        <f>COUNTIF('Brooklyn &amp; Boroughs - Contacts'!H:H,"Verified")</f>
        <v/>
      </c>
      <c r="G8" s="21" t="n"/>
      <c r="H8" s="21" t="n"/>
      <c r="I8" s="21" t="n"/>
      <c r="J8" s="21" t="n"/>
      <c r="K8" s="21" t="n"/>
    </row>
    <row r="9">
      <c r="A9" s="25" t="inlineStr">
        <is>
          <t>Upstate Industrial</t>
        </is>
      </c>
      <c r="B9" s="25">
        <f>COUNTA('Upstate Industrial - Firms'!C:C)-1</f>
        <v/>
      </c>
      <c r="C9" s="25">
        <f>COUNTIF('Upstate Industrial - Firms'!A:A,"Crypto/Blockchain Specialty")+COUNTIF('Upstate Industrial - Firms'!A:A,"Specialty")</f>
        <v/>
      </c>
      <c r="D9" s="25">
        <f>COUNTIF('Upstate Industrial - Firms'!A:A,"General Firm w/ Crypto Practice")+COUNTIF('Upstate Industrial - Firms'!A:A,"General + Crypto")</f>
        <v/>
      </c>
      <c r="E9" s="25">
        <f>COUNTA('Upstate Industrial - Contacts'!A:A)-1</f>
        <v/>
      </c>
      <c r="F9" s="25">
        <f>COUNTIF('Upstate Industrial - Contacts'!H:H,"Verified")</f>
        <v/>
      </c>
      <c r="G9" s="21" t="n"/>
      <c r="H9" s="21" t="n"/>
      <c r="I9" s="21" t="n"/>
      <c r="J9" s="21" t="n"/>
      <c r="K9" s="21" t="n"/>
    </row>
    <row r="10">
      <c r="A10" s="26" t="inlineStr">
        <is>
          <t>TOTAL</t>
        </is>
      </c>
      <c r="B10" s="26">
        <f>SUM(B7:B9)</f>
        <v/>
      </c>
      <c r="C10" s="26">
        <f>SUM(C7:C9)</f>
        <v/>
      </c>
      <c r="D10" s="26">
        <f>SUM(D7:D9)</f>
        <v/>
      </c>
      <c r="E10" s="26">
        <f>SUM(E7:E9)</f>
        <v/>
      </c>
      <c r="F10" s="26">
        <f>SUM(F7:F9)</f>
        <v/>
      </c>
      <c r="G10" s="21" t="n"/>
      <c r="H10" s="21" t="n"/>
      <c r="I10" s="21" t="n"/>
      <c r="J10" s="21" t="n"/>
      <c r="K10" s="21" t="n"/>
    </row>
    <row r="11">
      <c r="A11" s="21" t="n"/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</row>
    <row r="12">
      <c r="A12" s="23" t="inlineStr">
        <is>
          <t>TERRITORY OVERVIEW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</row>
    <row r="13" ht="15" customHeight="1" s="17">
      <c r="A13" s="24" t="inlineStr">
        <is>
          <t>Region</t>
        </is>
      </c>
      <c r="B13" s="24" t="inlineStr">
        <is>
          <t>Anchor Hub</t>
        </is>
      </c>
      <c r="C13" s="24" t="inlineStr">
        <is>
          <t>Key Geography</t>
        </is>
      </c>
      <c r="D13" s="24" t="inlineStr">
        <is>
          <t>Industry Mix</t>
        </is>
      </c>
      <c r="E13" s="24" t="inlineStr">
        <is>
          <t>Primary Pitch</t>
        </is>
      </c>
      <c r="F13" s="21" t="n"/>
      <c r="G13" s="21" t="n"/>
      <c r="H13" s="21" t="n"/>
      <c r="I13" s="21" t="n"/>
      <c r="J13" s="21" t="n"/>
      <c r="K13" s="21" t="n"/>
    </row>
    <row r="14">
      <c r="A14" s="27" t="inlineStr">
        <is>
          <t>1. Manhattan</t>
        </is>
      </c>
      <c r="B14" s="27" t="inlineStr">
        <is>
          <t>Wall Street/Midtown</t>
        </is>
      </c>
      <c r="C14" s="27" t="inlineStr">
        <is>
          <t>Manhattan, Greenwich CT</t>
        </is>
      </c>
      <c r="D14" s="27" t="inlineStr">
        <is>
          <t>Finance/Legal</t>
        </is>
      </c>
      <c r="E14" s="27" t="inlineStr">
        <is>
          <t>Security &amp; Scale</t>
        </is>
      </c>
      <c r="F14" s="21" t="n"/>
      <c r="G14" s="21" t="n"/>
      <c r="H14" s="21" t="n"/>
      <c r="I14" s="21" t="n"/>
      <c r="J14" s="21" t="n"/>
      <c r="K14" s="21" t="n"/>
    </row>
    <row r="15">
      <c r="A15" s="27" t="inlineStr">
        <is>
          <t>2. Brooklyn &amp; Boroughs</t>
        </is>
      </c>
      <c r="B15" s="27" t="inlineStr">
        <is>
          <t>Williamsburg/DUMBO</t>
        </is>
      </c>
      <c r="C15" s="27" t="inlineStr">
        <is>
          <t>Brooklyn, Queens, LI</t>
        </is>
      </c>
      <c r="D15" s="27" t="inlineStr">
        <is>
          <t>Web3/Startups</t>
        </is>
      </c>
      <c r="E15" s="27" t="inlineStr">
        <is>
          <t>Growth &amp; Devs</t>
        </is>
      </c>
      <c r="F15" s="21" t="n"/>
      <c r="G15" s="21" t="n"/>
      <c r="H15" s="21" t="n"/>
      <c r="I15" s="21" t="n"/>
      <c r="J15" s="21" t="n"/>
      <c r="K15" s="21" t="n"/>
    </row>
    <row r="16">
      <c r="A16" s="27" t="inlineStr">
        <is>
          <t>3. Upstate Industrial</t>
        </is>
      </c>
      <c r="B16" s="27" t="inlineStr">
        <is>
          <t>Buffalo/Rochester</t>
        </is>
      </c>
      <c r="C16" s="27" t="inlineStr">
        <is>
          <t>Finger Lakes, North Country</t>
        </is>
      </c>
      <c r="D16" s="27" t="inlineStr">
        <is>
          <t>Mining/Data Centers</t>
        </is>
      </c>
      <c r="E16" s="27" t="inlineStr">
        <is>
          <t>Power &amp; Efficiency</t>
        </is>
      </c>
      <c r="F16" s="21" t="n"/>
      <c r="G16" s="21" t="n"/>
      <c r="H16" s="21" t="n"/>
      <c r="I16" s="21" t="n"/>
      <c r="J16" s="21" t="n"/>
      <c r="K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</row>
    <row r="19">
      <c r="A19" s="23" t="inlineStr">
        <is>
          <t>PRIORITY KEY</t>
        </is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</row>
    <row r="20">
      <c r="A20" s="22" t="inlineStr">
        <is>
          <t>HIGH PRIORITY - Crypto/Blockchain specialty firms with dedicated practice focus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</row>
    <row r="21">
      <c r="A21" s="22" t="inlineStr">
        <is>
          <t>MEDIUM PRIORITY - Large firms with crypto capabilities and tech practice groups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</row>
    <row r="22" ht="15" customHeight="1" s="17">
      <c r="A22" s="22" t="inlineStr">
        <is>
          <t>TOP TIER - AmLaw 100/200 firms with strong technology and corporate practices</t>
        </is>
      </c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</row>
    <row r="24">
      <c r="A24" s="23" t="inlineStr">
        <is>
          <t>DATA SOURCES</t>
        </is>
      </c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</row>
    <row r="25">
      <c r="A25" s="22" t="inlineStr">
        <is>
          <t>Chambers FinTech Rankings 2024-2025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</row>
    <row r="26">
      <c r="A26" s="22" t="inlineStr">
        <is>
          <t>New York State Bar Association Directory</t>
        </is>
      </c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</row>
    <row r="27">
      <c r="A27" s="22" t="inlineStr">
        <is>
          <t>Firm Websites and LinkedIn Profiles</t>
        </is>
      </c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</row>
    <row r="28">
      <c r="A28" s="22" t="inlineStr">
        <is>
          <t>Legal 500 Technology Practice Rankings</t>
        </is>
      </c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</row>
    <row r="30" ht="15" customHeight="1" s="17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topLeftCell="A12" zoomScaleNormal="100" workbookViewId="0">
      <selection activeCell="A1" sqref="A1"/>
    </sheetView>
  </sheetViews>
  <sheetFormatPr baseColWidth="8" defaultColWidth="8.6640625" defaultRowHeight="14.25"/>
  <cols>
    <col width="25" customWidth="1" style="17" min="1" max="1"/>
    <col width="12" customWidth="1" style="17" min="2" max="2"/>
    <col width="40" customWidth="1" style="17" min="3" max="3"/>
    <col width="30" customWidth="1" style="17" min="4" max="4"/>
    <col width="18" customWidth="1" style="17" min="5" max="5"/>
    <col width="30" customWidth="1" style="17" min="6" max="6"/>
    <col width="12" customWidth="1" style="17" min="7" max="7"/>
    <col width="8" customWidth="1" style="17" min="8" max="8"/>
    <col width="12" customWidth="1" style="17" min="9" max="9"/>
    <col width="15" customWidth="1" style="17" min="10" max="10"/>
    <col width="60" customWidth="1" style="17" min="11" max="11"/>
    <col width="12" customWidth="1" style="17" min="12" max="12"/>
  </cols>
  <sheetData>
    <row r="1" ht="28.5" customHeight="1" s="17">
      <c r="A1" s="5" t="inlineStr">
        <is>
          <t>Category</t>
        </is>
      </c>
      <c r="B1" s="5" t="inlineStr">
        <is>
          <t>Tier</t>
        </is>
      </c>
      <c r="C1" s="5" t="inlineStr">
        <is>
          <t>Firm Name</t>
        </is>
      </c>
      <c r="D1" s="5" t="inlineStr">
        <is>
          <t>Website</t>
        </is>
      </c>
      <c r="E1" s="5" t="inlineStr">
        <is>
          <t>Phone</t>
        </is>
      </c>
      <c r="F1" s="5" t="inlineStr">
        <is>
          <t>Location</t>
        </is>
      </c>
      <c r="G1" s="5" t="inlineStr">
        <is>
          <t>City</t>
        </is>
      </c>
      <c r="H1" s="5" t="inlineStr">
        <is>
          <t>State</t>
        </is>
      </c>
      <c r="I1" s="5" t="inlineStr">
        <is>
          <t>Firm Size</t>
        </is>
      </c>
      <c r="J1" s="5" t="inlineStr">
        <is>
          <t>Revenue Range</t>
        </is>
      </c>
      <c r="K1" s="5" t="inlineStr">
        <is>
          <t>Practice Focus</t>
        </is>
      </c>
      <c r="L1" s="5" t="inlineStr">
        <is>
          <t>Priority</t>
        </is>
      </c>
    </row>
    <row r="2" ht="18" customHeight="1" s="17">
      <c r="A2" s="6" t="inlineStr">
        <is>
          <t>GROUP 1: CRYPTO/BLOCKCHAIN SPECIALTY FIRMS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</row>
    <row r="3" ht="27.75" customHeight="1" s="17">
      <c r="A3" s="7" t="inlineStr">
        <is>
          <t>Specialty</t>
        </is>
      </c>
      <c r="B3" s="8" t="inlineStr">
        <is>
          <t>Tier 1</t>
        </is>
      </c>
      <c r="C3" s="7" t="inlineStr">
        <is>
          <t>Dilendorf Law Firm</t>
        </is>
      </c>
      <c r="D3" s="7" t="inlineStr">
        <is>
          <t>https://dilendorf.com</t>
        </is>
      </c>
      <c r="E3" s="7" t="n"/>
      <c r="F3" s="7" t="inlineStr">
        <is>
          <t>Manhattan</t>
        </is>
      </c>
      <c r="G3" s="8" t="inlineStr">
        <is>
          <t>New York</t>
        </is>
      </c>
      <c r="H3" s="8" t="inlineStr">
        <is>
          <t>NY</t>
        </is>
      </c>
      <c r="I3" s="8" t="inlineStr">
        <is>
          <t>Small (2-10)</t>
        </is>
      </c>
      <c r="J3" s="7" t="n"/>
      <c r="K3" s="7" t="inlineStr">
        <is>
          <t>Crypto theft recovery, STO, compliance, arbitration, estate planning</t>
        </is>
      </c>
      <c r="L3" s="8" t="inlineStr">
        <is>
          <t>PRIMARY TARGET</t>
        </is>
      </c>
    </row>
    <row r="4" ht="27.75" customHeight="1" s="17">
      <c r="A4" s="7" t="inlineStr">
        <is>
          <t>Specialty</t>
        </is>
      </c>
      <c r="B4" s="8" t="inlineStr">
        <is>
          <t>Tier 1</t>
        </is>
      </c>
      <c r="C4" s="7" t="inlineStr">
        <is>
          <t>Kim &amp; Serritella LLP</t>
        </is>
      </c>
      <c r="D4" s="7" t="inlineStr">
        <is>
          <t>https://www.kandslaw.com</t>
        </is>
      </c>
      <c r="E4" s="7" t="n"/>
      <c r="F4" s="7" t="inlineStr">
        <is>
          <t>110 W. Manhattan</t>
        </is>
      </c>
      <c r="G4" s="8" t="inlineStr">
        <is>
          <t>New York</t>
        </is>
      </c>
      <c r="H4" s="8" t="inlineStr">
        <is>
          <t>NY</t>
        </is>
      </c>
      <c r="I4" s="8" t="inlineStr">
        <is>
          <t>Small (2-10)</t>
        </is>
      </c>
      <c r="J4" s="7" t="n"/>
      <c r="K4" s="7" t="inlineStr">
        <is>
          <t>Crypto law, investor litigation, commercial litigation, business transactions</t>
        </is>
      </c>
      <c r="L4" s="8" t="inlineStr">
        <is>
          <t>PRIMARY TARGET</t>
        </is>
      </c>
    </row>
    <row r="5" ht="27.75" customHeight="1" s="17">
      <c r="A5" s="7" t="inlineStr">
        <is>
          <t>Specialty</t>
        </is>
      </c>
      <c r="B5" s="8" t="inlineStr">
        <is>
          <t>Tier 1</t>
        </is>
      </c>
      <c r="C5" s="7" t="inlineStr">
        <is>
          <t>Cea Legal P.C.</t>
        </is>
      </c>
      <c r="D5" s="7" t="inlineStr">
        <is>
          <t>https://www.cealegal.com</t>
        </is>
      </c>
      <c r="E5" s="7" t="n"/>
      <c r="F5" s="7" t="inlineStr">
        <is>
          <t>Manhattan</t>
        </is>
      </c>
      <c r="G5" s="8" t="inlineStr">
        <is>
          <t>New York</t>
        </is>
      </c>
      <c r="H5" s="8" t="inlineStr">
        <is>
          <t>NY</t>
        </is>
      </c>
      <c r="I5" s="8" t="inlineStr">
        <is>
          <t>Small (2-10)</t>
        </is>
      </c>
      <c r="J5" s="7" t="n"/>
      <c r="K5" s="7" t="inlineStr">
        <is>
          <t>Blockchain law, MiCA compliance, AI intersection, international (HK/Dubai)</t>
        </is>
      </c>
      <c r="L5" s="8" t="inlineStr">
        <is>
          <t>PRIMARY TARGET</t>
        </is>
      </c>
    </row>
    <row r="6" ht="27.75" customHeight="1" s="17">
      <c r="A6" s="7" t="inlineStr">
        <is>
          <t>Specialty</t>
        </is>
      </c>
      <c r="B6" s="8" t="inlineStr">
        <is>
          <t>Tier 2</t>
        </is>
      </c>
      <c r="C6" s="7" t="inlineStr">
        <is>
          <t>Xu Law Group</t>
        </is>
      </c>
      <c r="D6" s="7" t="inlineStr">
        <is>
          <t>https://xulawgroup.com</t>
        </is>
      </c>
      <c r="E6" s="7" t="n"/>
      <c r="F6" s="7" t="inlineStr">
        <is>
          <t>Manhattan</t>
        </is>
      </c>
      <c r="G6" s="8" t="inlineStr">
        <is>
          <t>New York</t>
        </is>
      </c>
      <c r="H6" s="8" t="inlineStr">
        <is>
          <t>NY</t>
        </is>
      </c>
      <c r="I6" s="8" t="inlineStr">
        <is>
          <t>Small (2-10)</t>
        </is>
      </c>
      <c r="J6" s="7" t="n"/>
      <c r="K6" s="7" t="inlineStr">
        <is>
          <t>Web3 startups, crypto, NFT projects, business/immigration</t>
        </is>
      </c>
      <c r="L6" s="8" t="inlineStr">
        <is>
          <t>HIGH PRIORITY</t>
        </is>
      </c>
    </row>
    <row r="7" ht="27.75" customHeight="1" s="17">
      <c r="A7" s="7" t="inlineStr">
        <is>
          <t>Specialty</t>
        </is>
      </c>
      <c r="B7" s="8" t="inlineStr">
        <is>
          <t>Tier 2</t>
        </is>
      </c>
      <c r="C7" s="7" t="inlineStr">
        <is>
          <t>Oberheiden P.C.</t>
        </is>
      </c>
      <c r="D7" s="7" t="inlineStr">
        <is>
          <t>https://www.federal-lawyer.com</t>
        </is>
      </c>
      <c r="E7" s="7" t="n"/>
      <c r="F7" s="7" t="inlineStr">
        <is>
          <t>Manhattan</t>
        </is>
      </c>
      <c r="G7" s="8" t="inlineStr">
        <is>
          <t>New York</t>
        </is>
      </c>
      <c r="H7" s="8" t="inlineStr">
        <is>
          <t>NY</t>
        </is>
      </c>
      <c r="I7" s="8" t="inlineStr">
        <is>
          <t>Medium (11-50)</t>
        </is>
      </c>
      <c r="J7" s="7" t="n"/>
      <c r="K7" s="7" t="inlineStr">
        <is>
          <t>Federal defense (DOJ/CFTC/IRS/SEC/FinCEN), blockchain team</t>
        </is>
      </c>
      <c r="L7" s="8" t="inlineStr">
        <is>
          <t>HIGH PRIORITY</t>
        </is>
      </c>
    </row>
    <row r="8" ht="27.75" customHeight="1" s="17">
      <c r="A8" s="7" t="inlineStr">
        <is>
          <t>Specialty</t>
        </is>
      </c>
      <c r="B8" s="8" t="inlineStr">
        <is>
          <t>Tier 2</t>
        </is>
      </c>
      <c r="C8" s="7" t="inlineStr">
        <is>
          <t>DLx Law PLLC</t>
        </is>
      </c>
      <c r="D8" s="7" t="inlineStr">
        <is>
          <t>https://www.dlxlaw.com</t>
        </is>
      </c>
      <c r="E8" s="7" t="n"/>
      <c r="F8" s="7" t="inlineStr">
        <is>
          <t>Manhattan</t>
        </is>
      </c>
      <c r="G8" s="8" t="inlineStr">
        <is>
          <t>New York</t>
        </is>
      </c>
      <c r="H8" s="8" t="inlineStr">
        <is>
          <t>NY</t>
        </is>
      </c>
      <c r="I8" s="8" t="inlineStr">
        <is>
          <t>Small (2-10)</t>
        </is>
      </c>
      <c r="J8" s="7" t="n"/>
      <c r="K8" s="7" t="inlineStr">
        <is>
          <t>Band 4 Chambers, crypto-native boutique, token offerings, DeFi, regulatory</t>
        </is>
      </c>
      <c r="L8" s="8" t="inlineStr">
        <is>
          <t>PRIMARY TARGET</t>
        </is>
      </c>
    </row>
    <row r="9" ht="18" customHeight="1" s="17">
      <c r="A9" s="6" t="inlineStr">
        <is>
          <t>GROUP 2: GENERAL FIRMS WITH CRYPTO/BLOCKCHAIN CAPABILITIES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27.75" customHeight="1" s="17">
      <c r="A10" s="9" t="inlineStr">
        <is>
          <t>General + Crypto</t>
        </is>
      </c>
      <c r="B10" s="10" t="inlineStr">
        <is>
          <t>Tier 1</t>
        </is>
      </c>
      <c r="C10" s="9" t="inlineStr">
        <is>
          <t>Latham &amp; Watkins LLP</t>
        </is>
      </c>
      <c r="D10" s="9" t="inlineStr">
        <is>
          <t>https://www.lw.com</t>
        </is>
      </c>
      <c r="E10" s="9" t="n"/>
      <c r="F10" s="9" t="inlineStr">
        <is>
          <t>1271 Avenue of Americas</t>
        </is>
      </c>
      <c r="G10" s="10" t="inlineStr">
        <is>
          <t>New York</t>
        </is>
      </c>
      <c r="H10" s="10" t="inlineStr">
        <is>
          <t>NY</t>
        </is>
      </c>
      <c r="I10" s="10" t="inlineStr">
        <is>
          <t>Large (1000+)</t>
        </is>
      </c>
      <c r="J10" s="9" t="inlineStr">
        <is>
          <t>$5B+</t>
        </is>
      </c>
      <c r="K10" s="9" t="inlineStr">
        <is>
          <t>Digital Assets &amp; Web3, Band 1 Chambers, FinTech, DeFi, NFTs</t>
        </is>
      </c>
      <c r="L10" s="10" t="inlineStr">
        <is>
          <t>HIGH PRIORITY</t>
        </is>
      </c>
    </row>
    <row r="11" ht="27.75" customHeight="1" s="17">
      <c r="A11" s="9" t="inlineStr">
        <is>
          <t>General + Crypto</t>
        </is>
      </c>
      <c r="B11" s="10" t="inlineStr">
        <is>
          <t>Tier 1</t>
        </is>
      </c>
      <c r="C11" s="9" t="inlineStr">
        <is>
          <t>Ropes &amp; Gray LLP</t>
        </is>
      </c>
      <c r="D11" s="9" t="inlineStr">
        <is>
          <t>https://www.ropesgray.com</t>
        </is>
      </c>
      <c r="E11" s="9" t="n"/>
      <c r="F11" s="9" t="inlineStr">
        <is>
          <t>1211 Avenue of Americas</t>
        </is>
      </c>
      <c r="G11" s="10" t="inlineStr">
        <is>
          <t>New York</t>
        </is>
      </c>
      <c r="H11" s="10" t="inlineStr">
        <is>
          <t>NY</t>
        </is>
      </c>
      <c r="I11" s="10" t="inlineStr">
        <is>
          <t>Large (1000+)</t>
        </is>
      </c>
      <c r="J11" s="9" t="inlineStr">
        <is>
          <t>$2B+</t>
        </is>
      </c>
      <c r="K11" s="9" t="inlineStr">
        <is>
          <t>FinTech, Chambers ranked, cross-practice digital assets</t>
        </is>
      </c>
      <c r="L11" s="10" t="inlineStr">
        <is>
          <t>HIGH PRIORITY</t>
        </is>
      </c>
    </row>
    <row r="12" ht="27.75" customHeight="1" s="17">
      <c r="A12" s="9" t="inlineStr">
        <is>
          <t>General + Crypto</t>
        </is>
      </c>
      <c r="B12" s="10" t="inlineStr">
        <is>
          <t>Tier 1</t>
        </is>
      </c>
      <c r="C12" s="9" t="inlineStr">
        <is>
          <t>Cahill Gordon &amp; Reindel LLP</t>
        </is>
      </c>
      <c r="D12" s="9" t="inlineStr">
        <is>
          <t>https://www.cahill.com</t>
        </is>
      </c>
      <c r="E12" s="9" t="n"/>
      <c r="F12" s="9" t="inlineStr">
        <is>
          <t>32 Old Slip</t>
        </is>
      </c>
      <c r="G12" s="10" t="inlineStr">
        <is>
          <t>New York</t>
        </is>
      </c>
      <c r="H12" s="10" t="inlineStr">
        <is>
          <t>NY</t>
        </is>
      </c>
      <c r="I12" s="10" t="inlineStr">
        <is>
          <t>Large (250-500)</t>
        </is>
      </c>
      <c r="J12" s="9" t="inlineStr">
        <is>
          <t>$500M+</t>
        </is>
      </c>
      <c r="K12" s="9" t="inlineStr">
        <is>
          <t>CahillNXT, Chambers ranked Crypto-Asset Disputes &amp; FinTech</t>
        </is>
      </c>
      <c r="L12" s="10" t="inlineStr">
        <is>
          <t>HIGH PRIORITY</t>
        </is>
      </c>
    </row>
    <row r="13" ht="27.75" customHeight="1" s="17">
      <c r="A13" s="9" t="inlineStr">
        <is>
          <t>General + Crypto</t>
        </is>
      </c>
      <c r="B13" s="10" t="inlineStr">
        <is>
          <t>Tier 2</t>
        </is>
      </c>
      <c r="C13" s="9" t="inlineStr">
        <is>
          <t>Scarinci Hollenbeck, LLC</t>
        </is>
      </c>
      <c r="D13" s="9" t="inlineStr">
        <is>
          <t>https://scarincihollenbeck.com</t>
        </is>
      </c>
      <c r="E13" s="9" t="n"/>
      <c r="F13" s="9" t="inlineStr">
        <is>
          <t>NYC Office</t>
        </is>
      </c>
      <c r="G13" s="10" t="inlineStr">
        <is>
          <t>New York</t>
        </is>
      </c>
      <c r="H13" s="10" t="inlineStr">
        <is>
          <t>NY</t>
        </is>
      </c>
      <c r="I13" s="10" t="inlineStr">
        <is>
          <t>Medium (50-100)</t>
        </is>
      </c>
      <c r="J13" s="9" t="n"/>
      <c r="K13" s="9" t="inlineStr">
        <is>
          <t>Blockchain, regulatory compliance (SEC/CFTC/FinCEN), smart contracts, litigation</t>
        </is>
      </c>
      <c r="L13" s="10" t="inlineStr">
        <is>
          <t>MEDIUM PRIORITY</t>
        </is>
      </c>
    </row>
    <row r="14" ht="27.75" customHeight="1" s="17">
      <c r="A14" s="9" t="inlineStr">
        <is>
          <t>General + Crypto</t>
        </is>
      </c>
      <c r="B14" s="10" t="inlineStr">
        <is>
          <t>Tier 2</t>
        </is>
      </c>
      <c r="C14" s="9" t="inlineStr">
        <is>
          <t>Romano Law PLLC</t>
        </is>
      </c>
      <c r="D14" s="9" t="inlineStr">
        <is>
          <t>https://www.romanolaw.com</t>
        </is>
      </c>
      <c r="E14" s="9" t="n"/>
      <c r="F14" s="9" t="inlineStr">
        <is>
          <t>Manhattan</t>
        </is>
      </c>
      <c r="G14" s="10" t="inlineStr">
        <is>
          <t>New York</t>
        </is>
      </c>
      <c r="H14" s="10" t="inlineStr">
        <is>
          <t>NY</t>
        </is>
      </c>
      <c r="I14" s="10" t="inlineStr">
        <is>
          <t>Small (11-50)</t>
        </is>
      </c>
      <c r="J14" s="9" t="n"/>
      <c r="K14" s="9" t="inlineStr">
        <is>
          <t>Blockchain &amp; cryptocurrency, business law, entertainment</t>
        </is>
      </c>
      <c r="L14" s="10" t="inlineStr">
        <is>
          <t>MEDIUM PRIORITY</t>
        </is>
      </c>
    </row>
    <row r="15" ht="27.75" customHeight="1" s="17">
      <c r="A15" s="9" t="inlineStr">
        <is>
          <t>General + Crypto</t>
        </is>
      </c>
      <c r="B15" s="10" t="inlineStr">
        <is>
          <t>Tier 2</t>
        </is>
      </c>
      <c r="C15" s="9" t="inlineStr">
        <is>
          <t>Kostelanetz LLP</t>
        </is>
      </c>
      <c r="D15" s="9" t="inlineStr">
        <is>
          <t>https://kostelanetz.com</t>
        </is>
      </c>
      <c r="E15" s="9" t="n"/>
      <c r="F15" s="9" t="inlineStr">
        <is>
          <t>7 World Trade Center</t>
        </is>
      </c>
      <c r="G15" s="10" t="inlineStr">
        <is>
          <t>New York</t>
        </is>
      </c>
      <c r="H15" s="10" t="inlineStr">
        <is>
          <t>NY</t>
        </is>
      </c>
      <c r="I15" s="10" t="inlineStr">
        <is>
          <t>Medium (50-100)</t>
        </is>
      </c>
      <c r="J15" s="9" t="n"/>
      <c r="K15" s="9" t="inlineStr">
        <is>
          <t>Tax-focused crypto practice, cryptocurrency transactions, blockchain</t>
        </is>
      </c>
      <c r="L15" s="10" t="inlineStr">
        <is>
          <t>MEDIUM PRIORITY</t>
        </is>
      </c>
    </row>
    <row r="16" ht="27.75" customHeight="1" s="17">
      <c r="A16" s="9" t="inlineStr">
        <is>
          <t>General + Crypto</t>
        </is>
      </c>
      <c r="B16" s="10" t="inlineStr">
        <is>
          <t>Tier 3</t>
        </is>
      </c>
      <c r="C16" s="9" t="inlineStr">
        <is>
          <t>Abrams Fensterman, LLP</t>
        </is>
      </c>
      <c r="D16" s="9" t="inlineStr">
        <is>
          <t>https://www.abramslaw.com</t>
        </is>
      </c>
      <c r="E16" s="9" t="inlineStr">
        <is>
          <t>(516) 328-2300</t>
        </is>
      </c>
      <c r="F16" s="9" t="inlineStr">
        <is>
          <t>Multiple NY offices</t>
        </is>
      </c>
      <c r="G16" s="10" t="inlineStr">
        <is>
          <t>Long Island/Brooklyn/White Plains</t>
        </is>
      </c>
      <c r="H16" s="10" t="inlineStr">
        <is>
          <t>NY</t>
        </is>
      </c>
      <c r="I16" s="10" t="inlineStr">
        <is>
          <t>Medium (50-100)</t>
        </is>
      </c>
      <c r="J16" s="9" t="n"/>
      <c r="K16" s="9" t="inlineStr">
        <is>
          <t>Crypto currency regulations, government relations, former NYDFS counsel</t>
        </is>
      </c>
      <c r="L16" s="10" t="inlineStr">
        <is>
          <t>LOWER PRIORITY</t>
        </is>
      </c>
    </row>
    <row r="17" ht="27.75" customHeight="1" s="17">
      <c r="A17" s="9" t="inlineStr">
        <is>
          <t>General + Crypto</t>
        </is>
      </c>
      <c r="B17" s="10" t="inlineStr">
        <is>
          <t>Tier 1</t>
        </is>
      </c>
      <c r="C17" s="9" t="inlineStr">
        <is>
          <t>Davis Polk &amp; Wardwell LLP</t>
        </is>
      </c>
      <c r="D17" s="9" t="inlineStr">
        <is>
          <t>https://www.davispolk.com</t>
        </is>
      </c>
      <c r="E17" s="9" t="n"/>
      <c r="F17" s="9" t="inlineStr">
        <is>
          <t>450 Lexington Avenue</t>
        </is>
      </c>
      <c r="G17" s="10" t="inlineStr">
        <is>
          <t>New York</t>
        </is>
      </c>
      <c r="H17" s="10" t="inlineStr">
        <is>
          <t>NY</t>
        </is>
      </c>
      <c r="I17" s="10" t="inlineStr">
        <is>
          <t>Large (1000+)</t>
        </is>
      </c>
      <c r="J17" s="9" t="inlineStr">
        <is>
          <t>$3B+</t>
        </is>
      </c>
      <c r="K17" s="9" t="inlineStr">
        <is>
          <t>Band 1 Chambers FinTech, cryptocurrency/digital assets, regulatory, crypto disputes</t>
        </is>
      </c>
      <c r="L17" s="10" t="inlineStr">
        <is>
          <t>HIGH PRIORITY</t>
        </is>
      </c>
    </row>
    <row r="18" ht="27.75" customHeight="1" s="17">
      <c r="A18" s="9" t="inlineStr">
        <is>
          <t>General + Crypto</t>
        </is>
      </c>
      <c r="B18" s="10" t="inlineStr">
        <is>
          <t>Tier 1</t>
        </is>
      </c>
      <c r="C18" s="9" t="inlineStr">
        <is>
          <t>Sidley Austin LLP</t>
        </is>
      </c>
      <c r="D18" s="9" t="inlineStr">
        <is>
          <t>https://www.sidley.com</t>
        </is>
      </c>
      <c r="E18" s="9" t="n"/>
      <c r="F18" s="9" t="inlineStr">
        <is>
          <t>787 Seventh Avenue</t>
        </is>
      </c>
      <c r="G18" s="10" t="inlineStr">
        <is>
          <t>New York</t>
        </is>
      </c>
      <c r="H18" s="10" t="inlineStr">
        <is>
          <t>NY</t>
        </is>
      </c>
      <c r="I18" s="10" t="inlineStr">
        <is>
          <t>Large (1000+)</t>
        </is>
      </c>
      <c r="J18" s="9" t="inlineStr">
        <is>
          <t>$3B+</t>
        </is>
      </c>
      <c r="K18" s="9" t="inlineStr">
        <is>
          <t>Band 1 Chambers FinTech, blockchain group, regulatory, transactional, litigation</t>
        </is>
      </c>
      <c r="L18" s="10" t="inlineStr">
        <is>
          <t>HIGH PRIORITY</t>
        </is>
      </c>
    </row>
    <row r="19" ht="27.75" customHeight="1" s="17">
      <c r="A19" s="9" t="inlineStr">
        <is>
          <t>General + Crypto</t>
        </is>
      </c>
      <c r="B19" s="10" t="inlineStr">
        <is>
          <t>Tier 1</t>
        </is>
      </c>
      <c r="C19" s="9" t="inlineStr">
        <is>
          <t>Goodwin Procter LLP</t>
        </is>
      </c>
      <c r="D19" s="9" t="inlineStr">
        <is>
          <t>https://www.goodwinlaw.com</t>
        </is>
      </c>
      <c r="E19" s="9" t="n"/>
      <c r="F19" s="9" t="inlineStr">
        <is>
          <t>620 Eighth Avenue</t>
        </is>
      </c>
      <c r="G19" s="10" t="inlineStr">
        <is>
          <t>New York</t>
        </is>
      </c>
      <c r="H19" s="10" t="inlineStr">
        <is>
          <t>NY</t>
        </is>
      </c>
      <c r="I19" s="10" t="inlineStr">
        <is>
          <t>Large (1000+)</t>
        </is>
      </c>
      <c r="J19" s="9" t="inlineStr">
        <is>
          <t>$2B+</t>
        </is>
      </c>
      <c r="K19" s="9" t="inlineStr">
        <is>
          <t>50+ dedicated crypto lawyers, blockchain practice, regulatory, corporate</t>
        </is>
      </c>
      <c r="L19" s="10" t="inlineStr">
        <is>
          <t>HIGH PRIORITY</t>
        </is>
      </c>
    </row>
    <row r="20" ht="27.75" customHeight="1" s="17">
      <c r="A20" s="9" t="inlineStr">
        <is>
          <t>General + Crypto</t>
        </is>
      </c>
      <c r="B20" s="10" t="inlineStr">
        <is>
          <t>Tier 1</t>
        </is>
      </c>
      <c r="C20" s="9" t="inlineStr">
        <is>
          <t>White &amp; Case LLP</t>
        </is>
      </c>
      <c r="D20" s="9" t="inlineStr">
        <is>
          <t>https://www.whitecase.com</t>
        </is>
      </c>
      <c r="E20" s="9" t="n"/>
      <c r="F20" s="9" t="inlineStr">
        <is>
          <t>1221 Avenue of the Americas</t>
        </is>
      </c>
      <c r="G20" s="10" t="inlineStr">
        <is>
          <t>New York</t>
        </is>
      </c>
      <c r="H20" s="10" t="inlineStr">
        <is>
          <t>NY</t>
        </is>
      </c>
      <c r="I20" s="10" t="inlineStr">
        <is>
          <t>Large (1000+)</t>
        </is>
      </c>
      <c r="J20" s="9" t="inlineStr">
        <is>
          <t>$2B+</t>
        </is>
      </c>
      <c r="K20" s="9" t="inlineStr">
        <is>
          <t>Multi-party blockchain collaborations, regulatory, payments, custody</t>
        </is>
      </c>
      <c r="L20" s="10" t="inlineStr">
        <is>
          <t>HIGH PRIORITY</t>
        </is>
      </c>
    </row>
    <row r="21" ht="27.75" customHeight="1" s="17">
      <c r="A21" s="9" t="inlineStr">
        <is>
          <t>General + Crypto</t>
        </is>
      </c>
      <c r="B21" s="10" t="inlineStr">
        <is>
          <t>Tier 2</t>
        </is>
      </c>
      <c r="C21" s="9" t="inlineStr">
        <is>
          <t>Pryor Cashman LLP</t>
        </is>
      </c>
      <c r="D21" s="9" t="inlineStr">
        <is>
          <t>https://www.pryorcashman.com</t>
        </is>
      </c>
      <c r="E21" s="9" t="n"/>
      <c r="F21" s="9" t="inlineStr">
        <is>
          <t>7 Times Square</t>
        </is>
      </c>
      <c r="G21" s="10" t="inlineStr">
        <is>
          <t>New York</t>
        </is>
      </c>
      <c r="H21" s="10" t="inlineStr">
        <is>
          <t>NY</t>
        </is>
      </c>
      <c r="I21" s="10" t="inlineStr">
        <is>
          <t>Medium (200-500)</t>
        </is>
      </c>
      <c r="J21" s="9" t="n"/>
      <c r="K21" s="9" t="inlineStr">
        <is>
          <t>Band 4 Chambers, FinTech Group, blockchain/crypto regulatory, corporate</t>
        </is>
      </c>
      <c r="L21" s="10" t="inlineStr">
        <is>
          <t>MEDIUM PRIORITY</t>
        </is>
      </c>
    </row>
    <row r="22" ht="27.75" customHeight="1" s="17">
      <c r="A22" s="9" t="inlineStr">
        <is>
          <t>General + Crypto</t>
        </is>
      </c>
      <c r="B22" s="10" t="inlineStr">
        <is>
          <t>Tier 2</t>
        </is>
      </c>
      <c r="C22" s="9" t="inlineStr">
        <is>
          <t>Hecker Fink LLP</t>
        </is>
      </c>
      <c r="D22" s="9" t="inlineStr">
        <is>
          <t>https://www.heckerfink.com</t>
        </is>
      </c>
      <c r="E22" s="9" t="n"/>
      <c r="F22" s="9" t="inlineStr">
        <is>
          <t>1370 Avenue of the Americas</t>
        </is>
      </c>
      <c r="G22" s="10" t="inlineStr">
        <is>
          <t>New York</t>
        </is>
      </c>
      <c r="H22" s="10" t="inlineStr">
        <is>
          <t>NY</t>
        </is>
      </c>
      <c r="I22" s="10" t="inlineStr">
        <is>
          <t>Medium (50-100)</t>
        </is>
      </c>
      <c r="J22" s="9" t="n"/>
      <c r="K22" s="9" t="inlineStr">
        <is>
          <t>Chambers ranked crypto disputes, SEC/DOJ/CFTC defense, former federal prosecutors</t>
        </is>
      </c>
      <c r="L22" s="10" t="inlineStr">
        <is>
          <t>HIGH PRIORITY</t>
        </is>
      </c>
    </row>
    <row r="23" ht="27.75" customHeight="1" s="17">
      <c r="A23" s="11" t="inlineStr">
        <is>
          <t>General + Crypto</t>
        </is>
      </c>
      <c r="B23" s="12" t="inlineStr">
        <is>
          <t>Tier 2</t>
        </is>
      </c>
      <c r="C23" s="11" t="inlineStr">
        <is>
          <t>Quinn Emanuel Urquhart &amp; Sullivan LLP</t>
        </is>
      </c>
      <c r="D23" s="11" t="inlineStr">
        <is>
          <t>https://www.quinnemanuel.com</t>
        </is>
      </c>
      <c r="E23" s="11" t="n"/>
      <c r="F23" s="11" t="inlineStr">
        <is>
          <t>51 Madison Avenue</t>
        </is>
      </c>
      <c r="G23" s="12" t="inlineStr">
        <is>
          <t>New York</t>
        </is>
      </c>
      <c r="H23" s="12" t="inlineStr">
        <is>
          <t>NY</t>
        </is>
      </c>
      <c r="I23" s="12" t="inlineStr">
        <is>
          <t>Large (500-1000)</t>
        </is>
      </c>
      <c r="J23" s="11" t="inlineStr">
        <is>
          <t>$2B+</t>
        </is>
      </c>
      <c r="K23" s="11" t="inlineStr">
        <is>
          <t>Blockchain/digital asset litigation, SEC enforcement defense, landmark victories</t>
        </is>
      </c>
      <c r="L23" s="12" t="inlineStr">
        <is>
          <t>HIGH PRIORITY</t>
        </is>
      </c>
    </row>
    <row r="24" ht="27.75" customHeight="1" s="17">
      <c r="A24" s="11" t="inlineStr">
        <is>
          <t>General + Crypto</t>
        </is>
      </c>
      <c r="B24" s="12" t="inlineStr">
        <is>
          <t>Tier 3</t>
        </is>
      </c>
      <c r="C24" s="11" t="inlineStr">
        <is>
          <t>Dynamis LLP</t>
        </is>
      </c>
      <c r="D24" s="11" t="inlineStr">
        <is>
          <t>https://www.dynamisllp.com</t>
        </is>
      </c>
      <c r="E24" s="11" t="n"/>
      <c r="F24" s="11" t="inlineStr">
        <is>
          <t>New York Office</t>
        </is>
      </c>
      <c r="G24" s="12" t="inlineStr">
        <is>
          <t>New York</t>
        </is>
      </c>
      <c r="H24" s="12" t="inlineStr">
        <is>
          <t>NY</t>
        </is>
      </c>
      <c r="I24" s="12" t="inlineStr">
        <is>
          <t>Small (10-50)</t>
        </is>
      </c>
      <c r="J24" s="11" t="n"/>
      <c r="K24" s="11" t="inlineStr">
        <is>
          <t>Former federal prosecutors, SEC/DOJ/CFTC defense, crypto enforcement</t>
        </is>
      </c>
      <c r="L24" s="12" t="inlineStr">
        <is>
          <t>MEDIUM PRIORITY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tabSelected="1" topLeftCell="A25" zoomScaleNormal="100" workbookViewId="0">
      <selection activeCell="A1" sqref="A1"/>
    </sheetView>
  </sheetViews>
  <sheetFormatPr baseColWidth="8" defaultColWidth="8.6640625" defaultRowHeight="14.25"/>
  <cols>
    <col width="25" customWidth="1" style="17" min="1" max="1"/>
    <col width="35" customWidth="1" style="17" min="2" max="2"/>
    <col width="40" customWidth="1" style="17" min="3" max="3"/>
    <col width="25" customWidth="1" style="17" min="4" max="4"/>
    <col width="12" customWidth="1" style="17" min="5" max="5"/>
    <col width="10" customWidth="1" style="17" min="6" max="6"/>
    <col width="30" customWidth="1" style="17" min="7" max="7"/>
    <col width="15" customWidth="1" style="17" min="8" max="9"/>
    <col width="18" customWidth="1" style="17" min="10" max="10"/>
    <col width="35" customWidth="1" style="17" min="11" max="11"/>
    <col width="50" customWidth="1" style="17" min="12" max="12"/>
    <col width="60" customWidth="1" style="17" min="13" max="13"/>
  </cols>
  <sheetData>
    <row r="1" ht="28.5" customHeight="1" s="17">
      <c r="A1" s="5" t="inlineStr">
        <is>
          <t>Attorney Name</t>
        </is>
      </c>
      <c r="B1" s="5" t="inlineStr">
        <is>
          <t>Title</t>
        </is>
      </c>
      <c r="C1" s="5" t="inlineStr">
        <is>
          <t>Firm Name</t>
        </is>
      </c>
      <c r="D1" s="5" t="inlineStr">
        <is>
          <t>Firm Category</t>
        </is>
      </c>
      <c r="E1" s="5" t="inlineStr">
        <is>
          <t>Firm Tier</t>
        </is>
      </c>
      <c r="F1" s="5" t="inlineStr">
        <is>
          <t>Priority</t>
        </is>
      </c>
      <c r="G1" s="5" t="inlineStr">
        <is>
          <t>Professional Email</t>
        </is>
      </c>
      <c r="H1" s="5" t="inlineStr">
        <is>
          <t>Email Status</t>
        </is>
      </c>
      <c r="I1" s="5" t="inlineStr">
        <is>
          <t>Mobile Phone</t>
        </is>
      </c>
      <c r="J1" s="5" t="inlineStr">
        <is>
          <t>Office Phone</t>
        </is>
      </c>
      <c r="K1" s="5" t="inlineStr">
        <is>
          <t>LinkedIn Profile</t>
        </is>
      </c>
      <c r="L1" s="5" t="inlineStr">
        <is>
          <t>Practice Areas</t>
        </is>
      </c>
      <c r="M1" s="5" t="inlineStr">
        <is>
          <t>Notes</t>
        </is>
      </c>
    </row>
    <row r="2" ht="27.75" customHeight="1" s="17">
      <c r="A2" s="7" t="inlineStr">
        <is>
          <t>Max Dilendorf</t>
        </is>
      </c>
      <c r="B2" s="7" t="inlineStr">
        <is>
          <t>Managing Partner</t>
        </is>
      </c>
      <c r="C2" s="7" t="inlineStr">
        <is>
          <t>Dilendorf Law Firm</t>
        </is>
      </c>
      <c r="D2" s="7" t="inlineStr">
        <is>
          <t>Specialty</t>
        </is>
      </c>
      <c r="E2" s="8" t="inlineStr">
        <is>
          <t>Tier 1</t>
        </is>
      </c>
      <c r="F2" s="8" t="inlineStr">
        <is>
          <t>PRIMARY TARGET</t>
        </is>
      </c>
      <c r="G2" s="7" t="n"/>
      <c r="H2" s="8" t="inlineStr">
        <is>
          <t>Needs Research</t>
        </is>
      </c>
      <c r="I2" s="7" t="n"/>
      <c r="J2" s="7" t="n"/>
      <c r="K2" s="7" t="n"/>
      <c r="L2" s="7" t="inlineStr">
        <is>
          <t>Crypto theft recovery, arbitration (AAA/JAMS/NAM), SIM-swap cases</t>
        </is>
      </c>
      <c r="M2" s="7" t="inlineStr">
        <is>
          <t>Leading attorney for crypto theft; 100+ cases</t>
        </is>
      </c>
    </row>
    <row r="3" ht="27.75" customHeight="1" s="17">
      <c r="A3" s="7" t="inlineStr">
        <is>
          <t>Pamela A. Fuller</t>
        </is>
      </c>
      <c r="B3" s="7" t="inlineStr">
        <is>
          <t>Partner</t>
        </is>
      </c>
      <c r="C3" s="7" t="inlineStr">
        <is>
          <t>Dilendorf Law Firm</t>
        </is>
      </c>
      <c r="D3" s="7" t="inlineStr">
        <is>
          <t>Specialty</t>
        </is>
      </c>
      <c r="E3" s="8" t="inlineStr">
        <is>
          <t>Tier 1</t>
        </is>
      </c>
      <c r="F3" s="8" t="inlineStr">
        <is>
          <t>PRIMARY TARGET</t>
        </is>
      </c>
      <c r="G3" s="7" t="n"/>
      <c r="H3" s="8" t="inlineStr">
        <is>
          <t>Needs Research</t>
        </is>
      </c>
      <c r="I3" s="7" t="n"/>
      <c r="J3" s="7" t="n"/>
      <c r="K3" s="7" t="n"/>
      <c r="L3" s="7" t="inlineStr">
        <is>
          <t>Corporate &amp; international tax, digital assets</t>
        </is>
      </c>
      <c r="M3" s="7" t="inlineStr">
        <is>
          <t>20+ years experience</t>
        </is>
      </c>
    </row>
    <row r="4" ht="27.75" customHeight="1" s="17">
      <c r="A4" s="7" t="inlineStr">
        <is>
          <t>Robin Gerofsky Kaptzan</t>
        </is>
      </c>
      <c r="B4" s="7" t="inlineStr">
        <is>
          <t>Partner</t>
        </is>
      </c>
      <c r="C4" s="7" t="inlineStr">
        <is>
          <t>Dilendorf Law Firm</t>
        </is>
      </c>
      <c r="D4" s="7" t="inlineStr">
        <is>
          <t>Specialty</t>
        </is>
      </c>
      <c r="E4" s="8" t="inlineStr">
        <is>
          <t>Tier 1</t>
        </is>
      </c>
      <c r="F4" s="8" t="inlineStr">
        <is>
          <t>PRIMARY TARGET</t>
        </is>
      </c>
      <c r="G4" s="7" t="n"/>
      <c r="H4" s="8" t="inlineStr">
        <is>
          <t>Needs Research</t>
        </is>
      </c>
      <c r="I4" s="7" t="n"/>
      <c r="J4" s="7" t="n"/>
      <c r="K4" s="7" t="n"/>
      <c r="L4" s="7" t="inlineStr">
        <is>
          <t>Asia-Pacific practice, international business, Web3</t>
        </is>
      </c>
      <c r="M4" s="7" t="inlineStr">
        <is>
          <t>30+ years legal/business experience</t>
        </is>
      </c>
    </row>
    <row r="5" ht="27.75" customHeight="1" s="17">
      <c r="A5" s="7" t="inlineStr">
        <is>
          <t>Alina Veneziano</t>
        </is>
      </c>
      <c r="B5" s="7" t="inlineStr">
        <is>
          <t>Blockchain &amp; CPA Team Lead</t>
        </is>
      </c>
      <c r="C5" s="7" t="inlineStr">
        <is>
          <t>Oberheiden P.C.</t>
        </is>
      </c>
      <c r="D5" s="7" t="inlineStr">
        <is>
          <t>Specialty</t>
        </is>
      </c>
      <c r="E5" s="8" t="inlineStr">
        <is>
          <t>Tier 2</t>
        </is>
      </c>
      <c r="F5" s="8" t="inlineStr">
        <is>
          <t>HIGH PRIORITY</t>
        </is>
      </c>
      <c r="G5" s="7" t="n"/>
      <c r="H5" s="8" t="inlineStr">
        <is>
          <t>Needs Research</t>
        </is>
      </c>
      <c r="I5" s="7" t="n"/>
      <c r="J5" s="7" t="n"/>
      <c r="K5" s="7" t="n"/>
      <c r="L5" s="7" t="inlineStr">
        <is>
          <t>Blockchain, CFTC/IRS/SEC/FinCEN defense</t>
        </is>
      </c>
      <c r="M5" s="7" t="inlineStr">
        <is>
          <t>Team Lead; CPA background</t>
        </is>
      </c>
    </row>
    <row r="6" ht="27.75" customHeight="1" s="17">
      <c r="A6" s="7" t="inlineStr">
        <is>
          <t>Lewis Cohen</t>
        </is>
      </c>
      <c r="B6" s="7" t="inlineStr">
        <is>
          <t>Co-Founder, Partner</t>
        </is>
      </c>
      <c r="C6" s="7" t="inlineStr">
        <is>
          <t>DLx Law PLLC</t>
        </is>
      </c>
      <c r="D6" s="7" t="inlineStr">
        <is>
          <t>Specialty</t>
        </is>
      </c>
      <c r="E6" s="8" t="inlineStr">
        <is>
          <t>Tier 2</t>
        </is>
      </c>
      <c r="F6" s="8" t="inlineStr">
        <is>
          <t>PRIMARY TARGET</t>
        </is>
      </c>
      <c r="G6" s="7" t="n"/>
      <c r="H6" s="8" t="inlineStr">
        <is>
          <t>Needs Research</t>
        </is>
      </c>
      <c r="I6" s="7" t="n"/>
      <c r="J6" s="7" t="n"/>
      <c r="K6" s="7" t="n"/>
      <c r="L6" s="7" t="inlineStr">
        <is>
          <t>Token offerings, DeFi, blockchain regulatory</t>
        </is>
      </c>
      <c r="M6" s="7" t="inlineStr">
        <is>
          <t>Co-founder; Band 4 Chambers recognized; Kraken</t>
        </is>
      </c>
    </row>
    <row r="7" ht="27.75" customHeight="1" s="17">
      <c r="A7" s="7" t="inlineStr">
        <is>
          <t>Angela Angelovska-Wilson</t>
        </is>
      </c>
      <c r="B7" s="7" t="inlineStr">
        <is>
          <t>Co-Founder, Partner</t>
        </is>
      </c>
      <c r="C7" s="7" t="inlineStr">
        <is>
          <t>DLx Law PLLC</t>
        </is>
      </c>
      <c r="D7" s="7" t="inlineStr">
        <is>
          <t>Specialty</t>
        </is>
      </c>
      <c r="E7" s="8" t="inlineStr">
        <is>
          <t>Tier 2</t>
        </is>
      </c>
      <c r="F7" s="8" t="inlineStr">
        <is>
          <t>PRIMARY TARGET</t>
        </is>
      </c>
      <c r="G7" s="7" t="n"/>
      <c r="H7" s="8" t="inlineStr">
        <is>
          <t>Needs Research</t>
        </is>
      </c>
      <c r="I7" s="7" t="n"/>
      <c r="J7" s="7" t="n"/>
      <c r="K7" s="7" t="n"/>
      <c r="L7" s="7" t="inlineStr">
        <is>
          <t>Crypto regulatory, token structure, DeFi</t>
        </is>
      </c>
      <c r="M7" s="7" t="inlineStr">
        <is>
          <t>Co-founder; crypto-native boutique leader</t>
        </is>
      </c>
    </row>
    <row r="8" ht="27.75" customHeight="1" s="17">
      <c r="A8" s="9" t="inlineStr">
        <is>
          <t>Stephen Wink</t>
        </is>
      </c>
      <c r="B8" s="9" t="inlineStr">
        <is>
          <t>Partner, Global Co-Chair FinTech</t>
        </is>
      </c>
      <c r="C8" s="9" t="inlineStr">
        <is>
          <t>Latham &amp; Watkins LLP</t>
        </is>
      </c>
      <c r="D8" s="9" t="inlineStr">
        <is>
          <t>General + Crypto</t>
        </is>
      </c>
      <c r="E8" s="10" t="inlineStr">
        <is>
          <t>Tier 1</t>
        </is>
      </c>
      <c r="F8" s="10" t="inlineStr">
        <is>
          <t>HIGH PRIORITY</t>
        </is>
      </c>
      <c r="G8" s="9" t="n"/>
      <c r="H8" s="10" t="inlineStr">
        <is>
          <t>Needs Research</t>
        </is>
      </c>
      <c r="I8" s="9" t="n"/>
      <c r="J8" s="9" t="n"/>
      <c r="K8" s="9" t="n"/>
      <c r="L8" s="9" t="inlineStr">
        <is>
          <t>FinTech, Digital Assets &amp; Web3, regulatory</t>
        </is>
      </c>
      <c r="M8" s="9" t="inlineStr">
        <is>
          <t>Global Co-Chair FinTech Industry Group</t>
        </is>
      </c>
    </row>
    <row r="9" ht="27.75" customHeight="1" s="17">
      <c r="A9" s="9" t="inlineStr">
        <is>
          <t>Yvette Valdez</t>
        </is>
      </c>
      <c r="B9" s="9" t="inlineStr">
        <is>
          <t>Partner, Global Co-Chair Digital Assets</t>
        </is>
      </c>
      <c r="C9" s="9" t="inlineStr">
        <is>
          <t>Latham &amp; Watkins LLP</t>
        </is>
      </c>
      <c r="D9" s="9" t="inlineStr">
        <is>
          <t>General + Crypto</t>
        </is>
      </c>
      <c r="E9" s="10" t="inlineStr">
        <is>
          <t>Tier 1</t>
        </is>
      </c>
      <c r="F9" s="10" t="inlineStr">
        <is>
          <t>HIGH PRIORITY</t>
        </is>
      </c>
      <c r="G9" s="9" t="n"/>
      <c r="H9" s="10" t="inlineStr">
        <is>
          <t>Needs Research</t>
        </is>
      </c>
      <c r="I9" s="9" t="n"/>
      <c r="J9" s="9" t="n"/>
      <c r="K9" s="9" t="n"/>
      <c r="L9" s="9" t="inlineStr">
        <is>
          <t>Digital Assets &amp; Web3, DeFi, crypto derivatives</t>
        </is>
      </c>
      <c r="M9" s="9" t="inlineStr">
        <is>
          <t>Global Co-Chair Digital Assets &amp; Web3 Practice</t>
        </is>
      </c>
    </row>
    <row r="10" ht="27.75" customHeight="1" s="17">
      <c r="A10" s="9" t="inlineStr">
        <is>
          <t>Samson Enzer</t>
        </is>
      </c>
      <c r="B10" s="9" t="inlineStr">
        <is>
          <t>Partner, Co-Chair CahillNXT</t>
        </is>
      </c>
      <c r="C10" s="9" t="inlineStr">
        <is>
          <t>Cahill Gordon &amp; Reindel LLP</t>
        </is>
      </c>
      <c r="D10" s="9" t="inlineStr">
        <is>
          <t>General + Crypto</t>
        </is>
      </c>
      <c r="E10" s="10" t="inlineStr">
        <is>
          <t>Tier 1</t>
        </is>
      </c>
      <c r="F10" s="10" t="inlineStr">
        <is>
          <t>HIGH PRIORITY</t>
        </is>
      </c>
      <c r="G10" s="9" t="n"/>
      <c r="H10" s="10" t="inlineStr">
        <is>
          <t>Needs Research</t>
        </is>
      </c>
      <c r="I10" s="9" t="n"/>
      <c r="J10" s="9" t="n"/>
      <c r="K10" s="9" t="n"/>
      <c r="L10" s="9" t="inlineStr">
        <is>
          <t>Crypto-Asset Disputes, FinTech, litigation</t>
        </is>
      </c>
      <c r="M10" s="9" t="inlineStr">
        <is>
          <t>Co-Chair CahillNXT practice</t>
        </is>
      </c>
    </row>
    <row r="11" ht="27.75" customHeight="1" s="17">
      <c r="A11" s="9" t="inlineStr">
        <is>
          <t>Lewis Rinaudo Cohen</t>
        </is>
      </c>
      <c r="B11" s="9" t="inlineStr">
        <is>
          <t>Partner, Co-Chair CahillNXT</t>
        </is>
      </c>
      <c r="C11" s="9" t="inlineStr">
        <is>
          <t>Cahill Gordon &amp; Reindel LLP</t>
        </is>
      </c>
      <c r="D11" s="9" t="inlineStr">
        <is>
          <t>General + Crypto</t>
        </is>
      </c>
      <c r="E11" s="10" t="inlineStr">
        <is>
          <t>Tier 1</t>
        </is>
      </c>
      <c r="F11" s="10" t="inlineStr">
        <is>
          <t>HIGH PRIORITY</t>
        </is>
      </c>
      <c r="G11" s="9" t="n"/>
      <c r="H11" s="10" t="inlineStr">
        <is>
          <t>Needs Research</t>
        </is>
      </c>
      <c r="I11" s="9" t="n"/>
      <c r="J11" s="9" t="n"/>
      <c r="K11" s="9" t="n"/>
      <c r="L11" s="9" t="inlineStr">
        <is>
          <t>Crypto-Asset Disputes, FinTech, regulatory</t>
        </is>
      </c>
      <c r="M11" s="9" t="inlineStr">
        <is>
          <t>Co-Chair CahillNXT practice</t>
        </is>
      </c>
    </row>
    <row r="12" ht="27.75" customHeight="1" s="17">
      <c r="A12" s="9" t="inlineStr">
        <is>
          <t>Sarah Chen</t>
        </is>
      </c>
      <c r="B12" s="9" t="inlineStr">
        <is>
          <t>Partner</t>
        </is>
      </c>
      <c r="C12" s="9" t="inlineStr">
        <is>
          <t>Cahill Gordon &amp; Reindel LLP</t>
        </is>
      </c>
      <c r="D12" s="9" t="inlineStr">
        <is>
          <t>General + Crypto</t>
        </is>
      </c>
      <c r="E12" s="10" t="inlineStr">
        <is>
          <t>Tier 1</t>
        </is>
      </c>
      <c r="F12" s="10" t="inlineStr">
        <is>
          <t>HIGH PRIORITY</t>
        </is>
      </c>
      <c r="G12" s="9" t="n"/>
      <c r="H12" s="10" t="inlineStr">
        <is>
          <t>Needs Research</t>
        </is>
      </c>
      <c r="I12" s="9" t="n"/>
      <c r="J12" s="9" t="n"/>
      <c r="K12" s="9" t="n"/>
      <c r="L12" s="9" t="inlineStr">
        <is>
          <t>Digital assets, crypto disputes</t>
        </is>
      </c>
      <c r="M12" s="9" t="inlineStr">
        <is>
          <t>Chambers ranked</t>
        </is>
      </c>
    </row>
    <row r="13" ht="27.75" customHeight="1" s="17">
      <c r="A13" s="9" t="inlineStr">
        <is>
          <t>Gary Kalbaugh</t>
        </is>
      </c>
      <c r="B13" s="9" t="inlineStr">
        <is>
          <t>Partner</t>
        </is>
      </c>
      <c r="C13" s="9" t="inlineStr">
        <is>
          <t>Cahill Gordon &amp; Reindel LLP</t>
        </is>
      </c>
      <c r="D13" s="9" t="inlineStr">
        <is>
          <t>General + Crypto</t>
        </is>
      </c>
      <c r="E13" s="10" t="inlineStr">
        <is>
          <t>Tier 1</t>
        </is>
      </c>
      <c r="F13" s="10" t="inlineStr">
        <is>
          <t>HIGH PRIORITY</t>
        </is>
      </c>
      <c r="G13" s="9" t="n"/>
      <c r="H13" s="10" t="inlineStr">
        <is>
          <t>Needs Research</t>
        </is>
      </c>
      <c r="I13" s="9" t="n"/>
      <c r="J13" s="9" t="n"/>
      <c r="K13" s="9" t="n"/>
      <c r="L13" s="9" t="inlineStr">
        <is>
          <t>Digital assets, FinTech</t>
        </is>
      </c>
      <c r="M13" s="9" t="inlineStr">
        <is>
          <t>Chambers ranked</t>
        </is>
      </c>
    </row>
    <row r="14" ht="27.75" customHeight="1" s="17">
      <c r="A14" s="9" t="inlineStr">
        <is>
          <t>Jason Schwartz</t>
        </is>
      </c>
      <c r="B14" s="9" t="inlineStr">
        <is>
          <t>Partner</t>
        </is>
      </c>
      <c r="C14" s="9" t="inlineStr">
        <is>
          <t>Cahill Gordon &amp; Reindel LLP</t>
        </is>
      </c>
      <c r="D14" s="9" t="inlineStr">
        <is>
          <t>General + Crypto</t>
        </is>
      </c>
      <c r="E14" s="10" t="inlineStr">
        <is>
          <t>Tier 1</t>
        </is>
      </c>
      <c r="F14" s="10" t="inlineStr">
        <is>
          <t>HIGH PRIORITY</t>
        </is>
      </c>
      <c r="G14" s="9" t="n"/>
      <c r="H14" s="10" t="inlineStr">
        <is>
          <t>Needs Research</t>
        </is>
      </c>
      <c r="I14" s="9" t="n"/>
      <c r="J14" s="9" t="n"/>
      <c r="K14" s="9" t="n"/>
      <c r="L14" s="9" t="inlineStr">
        <is>
          <t>Digital assets, crypto-asset disputes</t>
        </is>
      </c>
      <c r="M14" s="9" t="inlineStr">
        <is>
          <t>Chambers ranked</t>
        </is>
      </c>
    </row>
    <row r="15" ht="27.75" customHeight="1" s="17">
      <c r="A15" s="9" t="inlineStr">
        <is>
          <t>Gregory Strong</t>
        </is>
      </c>
      <c r="B15" s="9" t="inlineStr">
        <is>
          <t>Partner</t>
        </is>
      </c>
      <c r="C15" s="9" t="inlineStr">
        <is>
          <t>Cahill Gordon &amp; Reindel LLP</t>
        </is>
      </c>
      <c r="D15" s="9" t="inlineStr">
        <is>
          <t>General + Crypto</t>
        </is>
      </c>
      <c r="E15" s="10" t="inlineStr">
        <is>
          <t>Tier 1</t>
        </is>
      </c>
      <c r="F15" s="10" t="inlineStr">
        <is>
          <t>HIGH PRIORITY</t>
        </is>
      </c>
      <c r="G15" s="9" t="n"/>
      <c r="H15" s="10" t="inlineStr">
        <is>
          <t>Needs Research</t>
        </is>
      </c>
      <c r="I15" s="9" t="n"/>
      <c r="J15" s="9" t="n"/>
      <c r="K15" s="9" t="n"/>
      <c r="L15" s="9" t="inlineStr">
        <is>
          <t>Digital assets, FinTech litigation</t>
        </is>
      </c>
      <c r="M15" s="9" t="inlineStr">
        <is>
          <t>Chambers ranked</t>
        </is>
      </c>
    </row>
    <row r="16" ht="27.75" customHeight="1" s="17">
      <c r="A16" s="9" t="inlineStr">
        <is>
          <t>Brandon Rutter</t>
        </is>
      </c>
      <c r="B16" s="9" t="inlineStr">
        <is>
          <t>Of Counsel</t>
        </is>
      </c>
      <c r="C16" s="9" t="inlineStr">
        <is>
          <t>Romano Law PLLC</t>
        </is>
      </c>
      <c r="D16" s="9" t="inlineStr">
        <is>
          <t>General + Crypto</t>
        </is>
      </c>
      <c r="E16" s="10" t="inlineStr">
        <is>
          <t>Tier 2</t>
        </is>
      </c>
      <c r="F16" s="10" t="inlineStr">
        <is>
          <t>MEDIUM PRIORITY</t>
        </is>
      </c>
      <c r="G16" s="9" t="n"/>
      <c r="H16" s="10" t="inlineStr">
        <is>
          <t>Needs Research</t>
        </is>
      </c>
      <c r="I16" s="9" t="n"/>
      <c r="J16" s="9" t="n"/>
      <c r="K16" s="9" t="n"/>
      <c r="L16" s="9" t="inlineStr">
        <is>
          <t>Blockchain &amp; cryptocurrency</t>
        </is>
      </c>
      <c r="M16" s="9" t="inlineStr">
        <is>
          <t>Of Counsel</t>
        </is>
      </c>
    </row>
    <row r="17" ht="27.75" customHeight="1" s="17">
      <c r="A17" s="9" t="inlineStr">
        <is>
          <t>Jai Massari</t>
        </is>
      </c>
      <c r="B17" s="9" t="inlineStr">
        <is>
          <t>Partner</t>
        </is>
      </c>
      <c r="C17" s="9" t="inlineStr">
        <is>
          <t>Davis Polk &amp; Wardwell LLP</t>
        </is>
      </c>
      <c r="D17" s="9" t="inlineStr">
        <is>
          <t>General + Crypto</t>
        </is>
      </c>
      <c r="E17" s="10" t="inlineStr">
        <is>
          <t>Tier 1</t>
        </is>
      </c>
      <c r="F17" s="10" t="inlineStr">
        <is>
          <t>HIGH PRIORITY</t>
        </is>
      </c>
      <c r="G17" s="9" t="n"/>
      <c r="H17" s="10" t="inlineStr">
        <is>
          <t>Needs Research</t>
        </is>
      </c>
      <c r="I17" s="9" t="n"/>
      <c r="J17" s="9" t="n"/>
      <c r="K17" s="9" t="n"/>
      <c r="L17" s="9" t="inlineStr">
        <is>
          <t>Cryptocurrency, digital assets, regulatory</t>
        </is>
      </c>
      <c r="M17" s="9" t="inlineStr">
        <is>
          <t>Band 1 Chambers recognized; leads crypto practice</t>
        </is>
      </c>
    </row>
    <row r="18" ht="27.75" customHeight="1" s="17">
      <c r="A18" s="9" t="inlineStr">
        <is>
          <t>Annette L. Nazareth</t>
        </is>
      </c>
      <c r="B18" s="9" t="inlineStr">
        <is>
          <t>Senior Counsel</t>
        </is>
      </c>
      <c r="C18" s="9" t="inlineStr">
        <is>
          <t>Davis Polk &amp; Wardwell LLP</t>
        </is>
      </c>
      <c r="D18" s="9" t="inlineStr">
        <is>
          <t>General + Crypto</t>
        </is>
      </c>
      <c r="E18" s="10" t="inlineStr">
        <is>
          <t>Tier 1</t>
        </is>
      </c>
      <c r="F18" s="10" t="inlineStr">
        <is>
          <t>HIGH PRIORITY</t>
        </is>
      </c>
      <c r="G18" s="9" t="n"/>
      <c r="H18" s="10" t="inlineStr">
        <is>
          <t>Needs Research</t>
        </is>
      </c>
      <c r="I18" s="9" t="n"/>
      <c r="J18" s="9" t="n"/>
      <c r="K18" s="9" t="n"/>
      <c r="L18" s="9" t="inlineStr">
        <is>
          <t>Cryptocurrency, digital assets, SEC regulatory</t>
        </is>
      </c>
      <c r="M18" s="9" t="inlineStr">
        <is>
          <t>Former SEC Commissioner; high-profile advisor</t>
        </is>
      </c>
    </row>
    <row r="19" ht="27.75" customHeight="1" s="17">
      <c r="A19" s="9" t="inlineStr">
        <is>
          <t>Gregory S. Rowland</t>
        </is>
      </c>
      <c r="B19" s="9" t="inlineStr">
        <is>
          <t>Partner</t>
        </is>
      </c>
      <c r="C19" s="9" t="inlineStr">
        <is>
          <t>Davis Polk &amp; Wardwell LLP</t>
        </is>
      </c>
      <c r="D19" s="9" t="inlineStr">
        <is>
          <t>General + Crypto</t>
        </is>
      </c>
      <c r="E19" s="10" t="inlineStr">
        <is>
          <t>Tier 1</t>
        </is>
      </c>
      <c r="F19" s="10" t="inlineStr">
        <is>
          <t>HIGH PRIORITY</t>
        </is>
      </c>
      <c r="G19" s="9" t="n"/>
      <c r="H19" s="10" t="inlineStr">
        <is>
          <t>Needs Research</t>
        </is>
      </c>
      <c r="I19" s="9" t="n"/>
      <c r="J19" s="9" t="n"/>
      <c r="K19" s="9" t="n"/>
      <c r="L19" s="9" t="inlineStr">
        <is>
          <t>Investment management, digital currency funds</t>
        </is>
      </c>
      <c r="M19" s="9" t="inlineStr">
        <is>
          <t>Helped create SkyBridge digital currency funds</t>
        </is>
      </c>
    </row>
    <row r="20" ht="27.75" customHeight="1" s="17">
      <c r="A20" s="9" t="inlineStr">
        <is>
          <t>Joseph A. Hall</t>
        </is>
      </c>
      <c r="B20" s="9" t="inlineStr">
        <is>
          <t>Partner</t>
        </is>
      </c>
      <c r="C20" s="9" t="inlineStr">
        <is>
          <t>Davis Polk &amp; Wardwell LLP</t>
        </is>
      </c>
      <c r="D20" s="9" t="inlineStr">
        <is>
          <t>General + Crypto</t>
        </is>
      </c>
      <c r="E20" s="10" t="inlineStr">
        <is>
          <t>Tier 1</t>
        </is>
      </c>
      <c r="F20" s="10" t="inlineStr">
        <is>
          <t>HIGH PRIORITY</t>
        </is>
      </c>
      <c r="G20" s="9" t="n"/>
      <c r="H20" s="10" t="inlineStr">
        <is>
          <t>Needs Research</t>
        </is>
      </c>
      <c r="I20" s="9" t="n"/>
      <c r="J20" s="9" t="n"/>
      <c r="K20" s="9" t="n"/>
      <c r="L20" s="9" t="inlineStr">
        <is>
          <t>Securities, digital assets, Ether trusts</t>
        </is>
      </c>
      <c r="M20" s="9" t="inlineStr">
        <is>
          <t>Helped Grayscale create Ether trust</t>
        </is>
      </c>
    </row>
    <row r="21" ht="27.75" customHeight="1" s="17">
      <c r="A21" s="9" t="inlineStr">
        <is>
          <t>Derek Dostal</t>
        </is>
      </c>
      <c r="B21" s="9" t="inlineStr">
        <is>
          <t>Partner</t>
        </is>
      </c>
      <c r="C21" s="9" t="inlineStr">
        <is>
          <t>Davis Polk &amp; Wardwell LLP</t>
        </is>
      </c>
      <c r="D21" s="9" t="inlineStr">
        <is>
          <t>General + Crypto</t>
        </is>
      </c>
      <c r="E21" s="10" t="inlineStr">
        <is>
          <t>Tier 1</t>
        </is>
      </c>
      <c r="F21" s="10" t="inlineStr">
        <is>
          <t>HIGH PRIORITY</t>
        </is>
      </c>
      <c r="G21" s="9" t="n"/>
      <c r="H21" s="10" t="inlineStr">
        <is>
          <t>Needs Research</t>
        </is>
      </c>
      <c r="I21" s="9" t="n"/>
      <c r="J21" s="9" t="n"/>
      <c r="K21" s="9" t="n"/>
      <c r="L21" s="9" t="inlineStr">
        <is>
          <t>Capital markets, cryptocurrency</t>
        </is>
      </c>
      <c r="M21" s="9" t="inlineStr">
        <is>
          <t>Rising capital markets partner; Silvergate work</t>
        </is>
      </c>
    </row>
    <row r="22" ht="27.75" customHeight="1" s="17">
      <c r="A22" s="9" t="inlineStr">
        <is>
          <t>David Teitelbaum</t>
        </is>
      </c>
      <c r="B22" s="9" t="inlineStr">
        <is>
          <t>Partner</t>
        </is>
      </c>
      <c r="C22" s="9" t="inlineStr">
        <is>
          <t>Sidley Austin LLP</t>
        </is>
      </c>
      <c r="D22" s="9" t="inlineStr">
        <is>
          <t>General + Crypto</t>
        </is>
      </c>
      <c r="E22" s="10" t="inlineStr">
        <is>
          <t>Tier 1</t>
        </is>
      </c>
      <c r="F22" s="10" t="inlineStr">
        <is>
          <t>HIGH PRIORITY</t>
        </is>
      </c>
      <c r="G22" s="9" t="n"/>
      <c r="H22" s="10" t="inlineStr">
        <is>
          <t>Needs Research</t>
        </is>
      </c>
      <c r="I22" s="9" t="n"/>
      <c r="J22" s="9" t="n"/>
      <c r="K22" s="9" t="n"/>
      <c r="L22" s="9" t="inlineStr">
        <is>
          <t>Blockchain, regulatory, broker-dealer</t>
        </is>
      </c>
      <c r="M22" s="9" t="inlineStr">
        <is>
          <t>Helped Tagomi/Coinbase with regulatory matters</t>
        </is>
      </c>
    </row>
    <row r="23" ht="27.75" customHeight="1" s="17">
      <c r="A23" s="9" t="inlineStr">
        <is>
          <t>Andrew Blake</t>
        </is>
      </c>
      <c r="B23" s="9" t="inlineStr">
        <is>
          <t>Partner</t>
        </is>
      </c>
      <c r="C23" s="9" t="inlineStr">
        <is>
          <t>Sidley Austin LLP</t>
        </is>
      </c>
      <c r="D23" s="9" t="inlineStr">
        <is>
          <t>General + Crypto</t>
        </is>
      </c>
      <c r="E23" s="10" t="inlineStr">
        <is>
          <t>Tier 1</t>
        </is>
      </c>
      <c r="F23" s="10" t="inlineStr">
        <is>
          <t>HIGH PRIORITY</t>
        </is>
      </c>
      <c r="G23" s="9" t="n"/>
      <c r="H23" s="10" t="inlineStr">
        <is>
          <t>Needs Research</t>
        </is>
      </c>
      <c r="I23" s="9" t="n"/>
      <c r="J23" s="9" t="n"/>
      <c r="K23" s="9" t="n"/>
      <c r="L23" s="9" t="inlineStr">
        <is>
          <t>Crypto custody, SEC no-action letters</t>
        </is>
      </c>
      <c r="M23" s="9" t="inlineStr">
        <is>
          <t>Helped Paxos secure SEC no-action letter</t>
        </is>
      </c>
    </row>
    <row r="24" ht="27.75" customHeight="1" s="17">
      <c r="A24" s="9" t="inlineStr">
        <is>
          <t>Lilya Tessler</t>
        </is>
      </c>
      <c r="B24" s="9" t="inlineStr">
        <is>
          <t>Partner, Head of FinTech</t>
        </is>
      </c>
      <c r="C24" s="9" t="inlineStr">
        <is>
          <t>Sidley Austin LLP</t>
        </is>
      </c>
      <c r="D24" s="9" t="inlineStr">
        <is>
          <t>General + Crypto</t>
        </is>
      </c>
      <c r="E24" s="10" t="inlineStr">
        <is>
          <t>Tier 1</t>
        </is>
      </c>
      <c r="F24" s="10" t="inlineStr">
        <is>
          <t>HIGH PRIORITY</t>
        </is>
      </c>
      <c r="G24" s="9" t="n"/>
      <c r="H24" s="10" t="inlineStr">
        <is>
          <t>Needs Research</t>
        </is>
      </c>
      <c r="I24" s="9" t="n"/>
      <c r="J24" s="9" t="n"/>
      <c r="K24" s="9" t="n"/>
      <c r="L24" s="9" t="inlineStr">
        <is>
          <t>FinTech, blockchain, digital assets regulatory</t>
        </is>
      </c>
      <c r="M24" s="9" t="inlineStr">
        <is>
          <t>Head of FinTech group</t>
        </is>
      </c>
    </row>
    <row r="25" ht="27.75" customHeight="1" s="17">
      <c r="A25" s="9" t="inlineStr">
        <is>
          <t>Grant Fondo</t>
        </is>
      </c>
      <c r="B25" s="9" t="inlineStr">
        <is>
          <t>Partner, Co-Chair Blockchain</t>
        </is>
      </c>
      <c r="C25" s="9" t="inlineStr">
        <is>
          <t>Goodwin Procter LLP</t>
        </is>
      </c>
      <c r="D25" s="9" t="inlineStr">
        <is>
          <t>General + Crypto</t>
        </is>
      </c>
      <c r="E25" s="10" t="inlineStr">
        <is>
          <t>Tier 1</t>
        </is>
      </c>
      <c r="F25" s="10" t="inlineStr">
        <is>
          <t>HIGH PRIORITY</t>
        </is>
      </c>
      <c r="G25" s="9" t="n"/>
      <c r="H25" s="10" t="inlineStr">
        <is>
          <t>Needs Research</t>
        </is>
      </c>
      <c r="I25" s="9" t="n"/>
      <c r="J25" s="9" t="n"/>
      <c r="K25" s="9" t="n"/>
      <c r="L25" s="9" t="inlineStr">
        <is>
          <t>Crypto litigation, regulatory, SEC/FinCEN</t>
        </is>
      </c>
      <c r="M25" s="9" t="inlineStr">
        <is>
          <t>Co-Chair blockchain practice; represented Ripple</t>
        </is>
      </c>
    </row>
    <row r="26" ht="27.75" customHeight="1" s="17">
      <c r="A26" s="9" t="inlineStr">
        <is>
          <t>Pratin Vallabhaneni</t>
        </is>
      </c>
      <c r="B26" s="9" t="inlineStr">
        <is>
          <t>Partner</t>
        </is>
      </c>
      <c r="C26" s="9" t="inlineStr">
        <is>
          <t>White &amp; Case LLP</t>
        </is>
      </c>
      <c r="D26" s="9" t="inlineStr">
        <is>
          <t>General + Crypto</t>
        </is>
      </c>
      <c r="E26" s="10" t="inlineStr">
        <is>
          <t>Tier 1</t>
        </is>
      </c>
      <c r="F26" s="10" t="inlineStr">
        <is>
          <t>HIGH PRIORITY</t>
        </is>
      </c>
      <c r="G26" s="9" t="n"/>
      <c r="H26" s="10" t="inlineStr">
        <is>
          <t>Needs Research</t>
        </is>
      </c>
      <c r="I26" s="9" t="n"/>
      <c r="J26" s="9" t="n"/>
      <c r="K26" s="9" t="n"/>
      <c r="L26" s="9" t="inlineStr">
        <is>
          <t>Blockchain regulatory, Novi/Facebook wallet</t>
        </is>
      </c>
      <c r="M26" s="9" t="inlineStr">
        <is>
          <t>Advised Novi, TrustToken; tech+law expertise</t>
        </is>
      </c>
    </row>
    <row r="27" ht="27.75" customHeight="1" s="17">
      <c r="A27" s="9" t="inlineStr">
        <is>
          <t>Jeffrey Alberts</t>
        </is>
      </c>
      <c r="B27" s="9" t="inlineStr">
        <is>
          <t>Partner, Co-Head FinTech Group</t>
        </is>
      </c>
      <c r="C27" s="9" t="inlineStr">
        <is>
          <t>Pryor Cashman LLP</t>
        </is>
      </c>
      <c r="D27" s="9" t="inlineStr">
        <is>
          <t>General + Crypto</t>
        </is>
      </c>
      <c r="E27" s="10" t="inlineStr">
        <is>
          <t>Tier 2</t>
        </is>
      </c>
      <c r="F27" s="10" t="inlineStr">
        <is>
          <t>MEDIUM PRIORITY</t>
        </is>
      </c>
      <c r="G27" s="9" t="n"/>
      <c r="H27" s="10" t="inlineStr">
        <is>
          <t>Needs Research</t>
        </is>
      </c>
      <c r="I27" s="9" t="n"/>
      <c r="J27" s="9" t="n"/>
      <c r="K27" s="9" t="n"/>
      <c r="L27" s="9" t="inlineStr">
        <is>
          <t>Blockchain, digital currency, regulatory, AML</t>
        </is>
      </c>
      <c r="M27" s="9" t="inlineStr">
        <is>
          <t>Co-heads FinTech Group; represented Paxos</t>
        </is>
      </c>
    </row>
    <row r="28" ht="27.75" customHeight="1" s="17">
      <c r="A28" s="9" t="inlineStr">
        <is>
          <t>Marshall Miller</t>
        </is>
      </c>
      <c r="B28" s="9" t="inlineStr">
        <is>
          <t>Partner</t>
        </is>
      </c>
      <c r="C28" s="9" t="inlineStr">
        <is>
          <t>Hecker Fink LLP</t>
        </is>
      </c>
      <c r="D28" s="9" t="inlineStr">
        <is>
          <t>General + Crypto</t>
        </is>
      </c>
      <c r="E28" s="10" t="inlineStr">
        <is>
          <t>Tier 2</t>
        </is>
      </c>
      <c r="F28" s="10" t="inlineStr">
        <is>
          <t>HIGH PRIORITY</t>
        </is>
      </c>
      <c r="G28" s="9" t="n"/>
      <c r="H28" s="10" t="inlineStr">
        <is>
          <t>Needs Research</t>
        </is>
      </c>
      <c r="I28" s="9" t="n"/>
      <c r="J28" s="9" t="n"/>
      <c r="K28" s="9" t="n"/>
      <c r="L28" s="9" t="inlineStr">
        <is>
          <t>Crypto enforcement, DOJ, regulatory defense</t>
        </is>
      </c>
      <c r="M28" s="9" t="inlineStr">
        <is>
          <t>Former Principal Associate Deputy AG; oversaw DOJ crypto enforcement</t>
        </is>
      </c>
    </row>
    <row r="29" ht="27.75" customHeight="1" s="17">
      <c r="A29" s="9" t="inlineStr">
        <is>
          <t>Sean Hecker</t>
        </is>
      </c>
      <c r="B29" s="9" t="inlineStr">
        <is>
          <t>Partner</t>
        </is>
      </c>
      <c r="C29" s="9" t="inlineStr">
        <is>
          <t>Hecker Fink LLP</t>
        </is>
      </c>
      <c r="D29" s="9" t="inlineStr">
        <is>
          <t>General + Crypto</t>
        </is>
      </c>
      <c r="E29" s="10" t="inlineStr">
        <is>
          <t>Tier 2</t>
        </is>
      </c>
      <c r="F29" s="10" t="inlineStr">
        <is>
          <t>HIGH PRIORITY</t>
        </is>
      </c>
      <c r="G29" s="9" t="n"/>
      <c r="H29" s="10" t="inlineStr">
        <is>
          <t>Needs Research</t>
        </is>
      </c>
      <c r="I29" s="9" t="n"/>
      <c r="J29" s="9" t="n"/>
      <c r="K29" s="9" t="n"/>
      <c r="L29" s="9" t="inlineStr">
        <is>
          <t>Crypto disputes, SEC/DOJ defense, litigation</t>
        </is>
      </c>
      <c r="M29" s="9" t="inlineStr">
        <is>
          <t>Chambers ranked; phenomenal crypto specialist</t>
        </is>
      </c>
    </row>
    <row r="30" ht="27.75" customHeight="1" s="17">
      <c r="A30" s="9" t="inlineStr">
        <is>
          <t>David Patton</t>
        </is>
      </c>
      <c r="B30" s="9" t="inlineStr">
        <is>
          <t>Partner</t>
        </is>
      </c>
      <c r="C30" s="9" t="inlineStr">
        <is>
          <t>Hecker Fink LLP</t>
        </is>
      </c>
      <c r="D30" s="9" t="inlineStr">
        <is>
          <t>General + Crypto</t>
        </is>
      </c>
      <c r="E30" s="10" t="inlineStr">
        <is>
          <t>Tier 2</t>
        </is>
      </c>
      <c r="F30" s="10" t="inlineStr">
        <is>
          <t>HIGH PRIORITY</t>
        </is>
      </c>
      <c r="G30" s="9" t="n"/>
      <c r="H30" s="10" t="inlineStr">
        <is>
          <t>Needs Research</t>
        </is>
      </c>
      <c r="I30" s="9" t="n"/>
      <c r="J30" s="9" t="n"/>
      <c r="K30" s="9" t="n"/>
      <c r="L30" s="9" t="inlineStr">
        <is>
          <t>Crypto litigation, enforcement defense</t>
        </is>
      </c>
      <c r="M30" s="9" t="inlineStr">
        <is>
          <t>Former federal public defender; Do Kwon defense team</t>
        </is>
      </c>
    </row>
    <row r="31" ht="27.75" customHeight="1" s="17">
      <c r="A31" s="9" t="inlineStr">
        <is>
          <t>Mike Ferrara</t>
        </is>
      </c>
      <c r="B31" s="9" t="inlineStr">
        <is>
          <t>Partner</t>
        </is>
      </c>
      <c r="C31" s="9" t="inlineStr">
        <is>
          <t>Hecker Fink LLP</t>
        </is>
      </c>
      <c r="D31" s="9" t="inlineStr">
        <is>
          <t>General + Crypto</t>
        </is>
      </c>
      <c r="E31" s="10" t="inlineStr">
        <is>
          <t>Tier 2</t>
        </is>
      </c>
      <c r="F31" s="10" t="inlineStr">
        <is>
          <t>HIGH PRIORITY</t>
        </is>
      </c>
      <c r="G31" s="9" t="n"/>
      <c r="H31" s="10" t="inlineStr">
        <is>
          <t>Needs Research</t>
        </is>
      </c>
      <c r="I31" s="9" t="n"/>
      <c r="J31" s="9" t="n"/>
      <c r="K31" s="9" t="n"/>
      <c r="L31" s="9" t="inlineStr">
        <is>
          <t>SEC defense, crypto litigation</t>
        </is>
      </c>
      <c r="M31" s="9" t="inlineStr">
        <is>
          <t>Defended Do Kwon at trial against SEC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style="17" min="1" max="1"/>
    <col width="8" customWidth="1" style="17" min="2" max="2"/>
    <col width="30" customWidth="1" style="17" min="3" max="3"/>
    <col width="30" customWidth="1" style="17" min="4" max="4"/>
    <col width="16" customWidth="1" style="17" min="5" max="5"/>
    <col width="30" customWidth="1" style="17" min="6" max="6"/>
    <col width="12" customWidth="1" style="17" min="7" max="7"/>
    <col width="6" customWidth="1" style="17" min="8" max="8"/>
    <col width="15" customWidth="1" style="17" min="9" max="9"/>
    <col width="12" customWidth="1" style="17" min="10" max="10"/>
    <col width="40" customWidth="1" style="17" min="11" max="11"/>
    <col width="15" customWidth="1" style="17" min="12" max="12"/>
  </cols>
  <sheetData>
    <row r="1">
      <c r="A1" s="19" t="inlineStr">
        <is>
          <t>Category</t>
        </is>
      </c>
      <c r="B1" s="19" t="inlineStr">
        <is>
          <t>Tier</t>
        </is>
      </c>
      <c r="C1" s="19" t="inlineStr">
        <is>
          <t>Firm Name</t>
        </is>
      </c>
      <c r="D1" s="19" t="inlineStr">
        <is>
          <t>Website</t>
        </is>
      </c>
      <c r="E1" s="19" t="inlineStr">
        <is>
          <t>Phone</t>
        </is>
      </c>
      <c r="F1" s="19" t="inlineStr">
        <is>
          <t>Location</t>
        </is>
      </c>
      <c r="G1" s="19" t="inlineStr">
        <is>
          <t>City</t>
        </is>
      </c>
      <c r="H1" s="19" t="inlineStr">
        <is>
          <t>State</t>
        </is>
      </c>
      <c r="I1" s="19" t="inlineStr">
        <is>
          <t>Firm Size</t>
        </is>
      </c>
      <c r="J1" s="19" t="inlineStr">
        <is>
          <t>Revenue Range</t>
        </is>
      </c>
      <c r="K1" s="19" t="inlineStr">
        <is>
          <t>Practice Focus</t>
        </is>
      </c>
      <c r="L1" s="19" t="inlineStr">
        <is>
          <t>Priority</t>
        </is>
      </c>
    </row>
    <row r="2">
      <c r="A2" s="28" t="inlineStr">
        <is>
          <t>GROUP 1: CRYPTO/BLOCKCHAIN SPECIALTY FIRMS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</row>
    <row r="3">
      <c r="A3" s="30" t="inlineStr">
        <is>
          <t>Specialty</t>
        </is>
      </c>
      <c r="B3" s="30" t="inlineStr">
        <is>
          <t>Tier 1</t>
        </is>
      </c>
      <c r="C3" s="30" t="inlineStr">
        <is>
          <t>The Litvak Law Firm, PLLC</t>
        </is>
      </c>
      <c r="D3" s="30" t="inlineStr">
        <is>
          <t>https://nyccrimelawyer.com</t>
        </is>
      </c>
      <c r="E3" s="30" t="inlineStr">
        <is>
          <t>(718) 989-2908</t>
        </is>
      </c>
      <c r="F3" s="30" t="inlineStr">
        <is>
          <t>1733 Sheepshead Bay Rd, Ste 22</t>
        </is>
      </c>
      <c r="G3" s="30" t="inlineStr">
        <is>
          <t>Brooklyn</t>
        </is>
      </c>
      <c r="H3" s="30" t="inlineStr">
        <is>
          <t>NY</t>
        </is>
      </c>
      <c r="I3" s="30" t="inlineStr">
        <is>
          <t>Small (2-10)</t>
        </is>
      </c>
      <c r="J3" s="30" t="inlineStr"/>
      <c r="K3" s="30" t="inlineStr">
        <is>
          <t>NFT law, cryptocurrency, crypto fraud defense, blockchain compliance, digital assets</t>
        </is>
      </c>
      <c r="L3" s="30" t="inlineStr">
        <is>
          <t>PRIMARY TARGET</t>
        </is>
      </c>
    </row>
    <row r="4">
      <c r="A4" s="30" t="inlineStr">
        <is>
          <t>Specialty</t>
        </is>
      </c>
      <c r="B4" s="30" t="inlineStr">
        <is>
          <t>Tier 1</t>
        </is>
      </c>
      <c r="C4" s="30" t="inlineStr">
        <is>
          <t>Dynamis LLP</t>
        </is>
      </c>
      <c r="D4" s="30" t="inlineStr">
        <is>
          <t>https://www.dynamisllp.com</t>
        </is>
      </c>
      <c r="E4" s="30" t="inlineStr"/>
      <c r="F4" s="30" t="inlineStr">
        <is>
          <t>New York Office</t>
        </is>
      </c>
      <c r="G4" s="30" t="inlineStr">
        <is>
          <t>New York</t>
        </is>
      </c>
      <c r="H4" s="30" t="inlineStr">
        <is>
          <t>NY</t>
        </is>
      </c>
      <c r="I4" s="30" t="inlineStr">
        <is>
          <t>Small (2-10)</t>
        </is>
      </c>
      <c r="J4" s="30" t="inlineStr"/>
      <c r="K4" s="30" t="inlineStr">
        <is>
          <t>Crypto litigation, blockchain disputes, SEC/DOJ defense, DeFi protocols, NFT platforms</t>
        </is>
      </c>
      <c r="L4" s="30" t="inlineStr">
        <is>
          <t>PRIMARY TARGET</t>
        </is>
      </c>
    </row>
    <row r="5">
      <c r="A5" s="28" t="inlineStr">
        <is>
          <t>GROUP 2: GENERAL PRACTICE + CRYPTO/FINTECH FOCUS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</row>
    <row r="6">
      <c r="A6" s="30" t="inlineStr">
        <is>
          <t>General+Crypto</t>
        </is>
      </c>
      <c r="B6" s="30" t="inlineStr">
        <is>
          <t>Tier 1</t>
        </is>
      </c>
      <c r="C6" s="30" t="inlineStr">
        <is>
          <t>Abrams Fensterman, LLP</t>
        </is>
      </c>
      <c r="D6" s="30" t="inlineStr">
        <is>
          <t>https://www.abramslaw.com</t>
        </is>
      </c>
      <c r="E6" s="30" t="inlineStr">
        <is>
          <t>(718) 215-3000</t>
        </is>
      </c>
      <c r="F6" s="30" t="inlineStr">
        <is>
          <t>1 MetroTech Center, Suite 1701</t>
        </is>
      </c>
      <c r="G6" s="30" t="inlineStr">
        <is>
          <t>Brooklyn</t>
        </is>
      </c>
      <c r="H6" s="30" t="inlineStr">
        <is>
          <t>NY</t>
        </is>
      </c>
      <c r="I6" s="30" t="inlineStr">
        <is>
          <t>Large (100+)</t>
        </is>
      </c>
      <c r="J6" s="30" t="inlineStr">
        <is>
          <t>$50M-100M</t>
        </is>
      </c>
      <c r="K6" s="30" t="inlineStr">
        <is>
          <t>Crypto currency regulation, blockchain infrastructure, government relations, BitLicense</t>
        </is>
      </c>
      <c r="L6" s="30" t="inlineStr">
        <is>
          <t>PRIMARY TARGET</t>
        </is>
      </c>
    </row>
    <row r="7">
      <c r="A7" s="30" t="inlineStr">
        <is>
          <t>General+Crypto</t>
        </is>
      </c>
      <c r="B7" s="30" t="inlineStr">
        <is>
          <t>Tier 2</t>
        </is>
      </c>
      <c r="C7" s="30" t="inlineStr">
        <is>
          <t>Abrams Fensterman, LLP - Flatlands</t>
        </is>
      </c>
      <c r="D7" s="30" t="inlineStr">
        <is>
          <t>https://www.abramslaw.com</t>
        </is>
      </c>
      <c r="E7" s="30" t="inlineStr">
        <is>
          <t>(718) 257-2305</t>
        </is>
      </c>
      <c r="F7" s="30" t="inlineStr">
        <is>
          <t>9306 Flatlands Avenue</t>
        </is>
      </c>
      <c r="G7" s="30" t="inlineStr">
        <is>
          <t>Brooklyn</t>
        </is>
      </c>
      <c r="H7" s="30" t="inlineStr">
        <is>
          <t>NY</t>
        </is>
      </c>
      <c r="I7" s="30" t="inlineStr">
        <is>
          <t>Large (100+)</t>
        </is>
      </c>
      <c r="J7" s="30" t="inlineStr">
        <is>
          <t>$50M-100M</t>
        </is>
      </c>
      <c r="K7" s="30" t="inlineStr">
        <is>
          <t>Crypto currency regulation, blockchain compliance, fintech regulatory</t>
        </is>
      </c>
      <c r="L7" s="30" t="inlineStr">
        <is>
          <t>HIGH PRIORITY</t>
        </is>
      </c>
    </row>
    <row r="8">
      <c r="A8" s="30" t="inlineStr">
        <is>
          <t>General+Crypto</t>
        </is>
      </c>
      <c r="B8" s="30" t="inlineStr">
        <is>
          <t>Tier 1</t>
        </is>
      </c>
      <c r="C8" s="30" t="inlineStr">
        <is>
          <t>Romano Law PLLC</t>
        </is>
      </c>
      <c r="D8" s="30" t="inlineStr">
        <is>
          <t>https://www.romanolaw.com</t>
        </is>
      </c>
      <c r="E8" s="30" t="inlineStr"/>
      <c r="F8" s="30" t="inlineStr">
        <is>
          <t>New York Office</t>
        </is>
      </c>
      <c r="G8" s="30" t="inlineStr">
        <is>
          <t>New York</t>
        </is>
      </c>
      <c r="H8" s="30" t="inlineStr">
        <is>
          <t>NY</t>
        </is>
      </c>
      <c r="I8" s="30" t="inlineStr">
        <is>
          <t>Mid-size (11-50)</t>
        </is>
      </c>
      <c r="J8" s="30" t="inlineStr"/>
      <c r="K8" s="30" t="inlineStr">
        <is>
          <t>Blockchain technologies, crypto litigation, NFT law, startup formation, digital currencies</t>
        </is>
      </c>
      <c r="L8" s="30" t="inlineStr">
        <is>
          <t>PRIMARY TARGET</t>
        </is>
      </c>
    </row>
    <row r="9">
      <c r="A9" s="30" t="inlineStr">
        <is>
          <t>General+Crypto</t>
        </is>
      </c>
      <c r="B9" s="30" t="inlineStr">
        <is>
          <t>Tier 1</t>
        </is>
      </c>
      <c r="C9" s="30" t="inlineStr">
        <is>
          <t>Pryor Cashman LLP</t>
        </is>
      </c>
      <c r="D9" s="30" t="inlineStr">
        <is>
          <t>https://www.pryorcashman.com</t>
        </is>
      </c>
      <c r="E9" s="30" t="inlineStr">
        <is>
          <t>(212) 421-4100</t>
        </is>
      </c>
      <c r="F9" s="30" t="inlineStr">
        <is>
          <t>7 Times Square</t>
        </is>
      </c>
      <c r="G9" s="30" t="inlineStr">
        <is>
          <t>New York</t>
        </is>
      </c>
      <c r="H9" s="30" t="inlineStr">
        <is>
          <t>NY</t>
        </is>
      </c>
      <c r="I9" s="30" t="inlineStr">
        <is>
          <t>Large (100+)</t>
        </is>
      </c>
      <c r="J9" s="30" t="inlineStr">
        <is>
          <t>$100M+</t>
        </is>
      </c>
      <c r="K9" s="30" t="inlineStr">
        <is>
          <t>FinTech, blockchain, NFT/art law, crypto regulatory, digital assets</t>
        </is>
      </c>
      <c r="L9" s="30" t="inlineStr">
        <is>
          <t>HIGH PRIORITY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0" customWidth="1" style="17" min="1" max="1"/>
    <col width="18" customWidth="1" style="17" min="2" max="2"/>
    <col width="28" customWidth="1" style="17" min="3" max="3"/>
    <col width="14" customWidth="1" style="17" min="4" max="4"/>
    <col width="8" customWidth="1" style="17" min="5" max="5"/>
    <col width="15" customWidth="1" style="17" min="6" max="6"/>
    <col width="28" customWidth="1" style="17" min="7" max="7"/>
    <col width="14" customWidth="1" style="17" min="8" max="8"/>
    <col width="14" customWidth="1" style="17" min="9" max="9"/>
    <col width="16" customWidth="1" style="17" min="10" max="10"/>
    <col width="35" customWidth="1" style="17" min="11" max="11"/>
    <col width="35" customWidth="1" style="17" min="12" max="12"/>
    <col width="40" customWidth="1" style="17" min="13" max="13"/>
  </cols>
  <sheetData>
    <row r="1">
      <c r="A1" s="19" t="inlineStr">
        <is>
          <t>Attorney Name</t>
        </is>
      </c>
      <c r="B1" s="19" t="inlineStr">
        <is>
          <t>Title</t>
        </is>
      </c>
      <c r="C1" s="19" t="inlineStr">
        <is>
          <t>Firm Name</t>
        </is>
      </c>
      <c r="D1" s="19" t="inlineStr">
        <is>
          <t>Firm Category</t>
        </is>
      </c>
      <c r="E1" s="19" t="inlineStr">
        <is>
          <t>Firm Tier</t>
        </is>
      </c>
      <c r="F1" s="19" t="inlineStr">
        <is>
          <t>Priority</t>
        </is>
      </c>
      <c r="G1" s="19" t="inlineStr">
        <is>
          <t>Professional Email</t>
        </is>
      </c>
      <c r="H1" s="19" t="inlineStr">
        <is>
          <t>Email Status</t>
        </is>
      </c>
      <c r="I1" s="19" t="inlineStr">
        <is>
          <t>Mobile Phone</t>
        </is>
      </c>
      <c r="J1" s="19" t="inlineStr">
        <is>
          <t>Office Phone</t>
        </is>
      </c>
      <c r="K1" s="19" t="inlineStr">
        <is>
          <t>LinkedIn Profile</t>
        </is>
      </c>
      <c r="L1" s="19" t="inlineStr">
        <is>
          <t>Practice Areas</t>
        </is>
      </c>
      <c r="M1" s="19" t="inlineStr">
        <is>
          <t>Notes</t>
        </is>
      </c>
    </row>
    <row r="2">
      <c r="A2" s="30" t="inlineStr">
        <is>
          <t>Igor B. Litvak</t>
        </is>
      </c>
      <c r="B2" s="30" t="inlineStr">
        <is>
          <t>Principal Attorney</t>
        </is>
      </c>
      <c r="C2" s="30" t="inlineStr">
        <is>
          <t>The Litvak Law Firm, PLLC</t>
        </is>
      </c>
      <c r="D2" s="30" t="inlineStr">
        <is>
          <t>Specialty</t>
        </is>
      </c>
      <c r="E2" s="30" t="inlineStr">
        <is>
          <t>Tier 1</t>
        </is>
      </c>
      <c r="F2" s="30" t="inlineStr">
        <is>
          <t>PRIMARY TARGET</t>
        </is>
      </c>
      <c r="G2" s="30" t="inlineStr"/>
      <c r="H2" s="30" t="inlineStr">
        <is>
          <t>Needs Research</t>
        </is>
      </c>
      <c r="I2" s="30" t="inlineStr"/>
      <c r="J2" s="30" t="inlineStr">
        <is>
          <t>(718) 989-2908</t>
        </is>
      </c>
      <c r="K2" s="30" t="inlineStr"/>
      <c r="L2" s="30" t="inlineStr">
        <is>
          <t>NFT law, crypto fraud defense, cryptocurrency business law, digital asset litigation</t>
        </is>
      </c>
      <c r="M2" s="30" t="inlineStr">
        <is>
          <t>Criminal defense attorney with crypto/NFT specialty; Super Lawyers recognized</t>
        </is>
      </c>
    </row>
    <row r="3">
      <c r="A3" s="30" t="inlineStr">
        <is>
          <t>Eric Rosen</t>
        </is>
      </c>
      <c r="B3" s="30" t="inlineStr">
        <is>
          <t>Founding Partner</t>
        </is>
      </c>
      <c r="C3" s="30" t="inlineStr">
        <is>
          <t>Dynamis LLP</t>
        </is>
      </c>
      <c r="D3" s="30" t="inlineStr">
        <is>
          <t>Specialty</t>
        </is>
      </c>
      <c r="E3" s="30" t="inlineStr">
        <is>
          <t>Tier 1</t>
        </is>
      </c>
      <c r="F3" s="30" t="inlineStr">
        <is>
          <t>PRIMARY TARGET</t>
        </is>
      </c>
      <c r="G3" s="30" t="inlineStr"/>
      <c r="H3" s="30" t="inlineStr">
        <is>
          <t>Needs Research</t>
        </is>
      </c>
      <c r="I3" s="30" t="inlineStr"/>
      <c r="J3" s="30" t="inlineStr"/>
      <c r="K3" s="30" t="inlineStr">
        <is>
          <t>https://www.linkedin.com/in/eric-rosen/</t>
        </is>
      </c>
      <c r="L3" s="30" t="inlineStr">
        <is>
          <t>Crypto litigation, SEC enforcement defense, blockchain disputes, white collar defense</t>
        </is>
      </c>
      <c r="M3" s="30" t="inlineStr">
        <is>
          <t>Former AUSA - led 'Varsity Blues' prosecution; crypto enforcement expert</t>
        </is>
      </c>
    </row>
    <row r="4">
      <c r="A4" s="30" t="inlineStr">
        <is>
          <t>Constantine Economides</t>
        </is>
      </c>
      <c r="B4" s="30" t="inlineStr">
        <is>
          <t>Founding Partner</t>
        </is>
      </c>
      <c r="C4" s="30" t="inlineStr">
        <is>
          <t>Dynamis LLP</t>
        </is>
      </c>
      <c r="D4" s="30" t="inlineStr">
        <is>
          <t>Specialty</t>
        </is>
      </c>
      <c r="E4" s="30" t="inlineStr">
        <is>
          <t>Tier 1</t>
        </is>
      </c>
      <c r="F4" s="30" t="inlineStr">
        <is>
          <t>PRIMARY TARGET</t>
        </is>
      </c>
      <c r="G4" s="30" t="inlineStr"/>
      <c r="H4" s="30" t="inlineStr">
        <is>
          <t>Needs Research</t>
        </is>
      </c>
      <c r="I4" s="30" t="inlineStr"/>
      <c r="J4" s="30" t="inlineStr"/>
      <c r="K4" s="30" t="inlineStr"/>
      <c r="L4" s="30" t="inlineStr">
        <is>
          <t>Crypto asset recovery, blockchain litigation, Ponzi scheme recovery</t>
        </is>
      </c>
      <c r="M4" s="30" t="inlineStr">
        <is>
          <t>Background in Madoff recovery; Miami-based partner</t>
        </is>
      </c>
    </row>
    <row r="5">
      <c r="A5" s="30" t="inlineStr">
        <is>
          <t>Howard Fensterman</t>
        </is>
      </c>
      <c r="B5" s="30" t="inlineStr">
        <is>
          <t>Managing Partner</t>
        </is>
      </c>
      <c r="C5" s="30" t="inlineStr">
        <is>
          <t>Abrams Fensterman, LLP</t>
        </is>
      </c>
      <c r="D5" s="30" t="inlineStr">
        <is>
          <t>General+Crypto</t>
        </is>
      </c>
      <c r="E5" s="30" t="inlineStr">
        <is>
          <t>Tier 1</t>
        </is>
      </c>
      <c r="F5" s="30" t="inlineStr">
        <is>
          <t>PRIMARY TARGET</t>
        </is>
      </c>
      <c r="G5" s="30" t="inlineStr"/>
      <c r="H5" s="30" t="inlineStr">
        <is>
          <t>Needs Research</t>
        </is>
      </c>
      <c r="I5" s="30" t="inlineStr"/>
      <c r="J5" s="30" t="inlineStr">
        <is>
          <t>(718) 215-3000</t>
        </is>
      </c>
      <c r="K5" s="30" t="inlineStr">
        <is>
          <t>https://www.linkedin.com/in/howardfensterman/</t>
        </is>
      </c>
      <c r="L5" s="30" t="inlineStr">
        <is>
          <t>Health law, regulatory, crypto currency, corporate</t>
        </is>
      </c>
      <c r="M5" s="30" t="inlineStr">
        <is>
          <t>Firm founder; leads emerging tech regulatory practice</t>
        </is>
      </c>
    </row>
    <row r="6">
      <c r="A6" s="30" t="inlineStr">
        <is>
          <t>Robert Abrams</t>
        </is>
      </c>
      <c r="B6" s="30" t="inlineStr">
        <is>
          <t>Founding Partner</t>
        </is>
      </c>
      <c r="C6" s="30" t="inlineStr">
        <is>
          <t>Abrams Fensterman, LLP</t>
        </is>
      </c>
      <c r="D6" s="30" t="inlineStr">
        <is>
          <t>General+Crypto</t>
        </is>
      </c>
      <c r="E6" s="30" t="inlineStr">
        <is>
          <t>Tier 1</t>
        </is>
      </c>
      <c r="F6" s="30" t="inlineStr">
        <is>
          <t>HIGH PRIORITY</t>
        </is>
      </c>
      <c r="G6" s="30" t="inlineStr"/>
      <c r="H6" s="30" t="inlineStr">
        <is>
          <t>Needs Research</t>
        </is>
      </c>
      <c r="I6" s="30" t="inlineStr"/>
      <c r="J6" s="30" t="inlineStr">
        <is>
          <t>(718) 215-3000</t>
        </is>
      </c>
      <c r="K6" s="30" t="inlineStr"/>
      <c r="L6" s="30" t="inlineStr">
        <is>
          <t>Elder law, government relations, regulatory compliance</t>
        </is>
      </c>
      <c r="M6" s="30" t="inlineStr">
        <is>
          <t>Lifetime Achievement Award - NYSBA; firm co-founder</t>
        </is>
      </c>
    </row>
    <row r="7">
      <c r="A7" s="30" t="inlineStr">
        <is>
          <t>Andrew Raider Wood</t>
        </is>
      </c>
      <c r="B7" s="30" t="inlineStr">
        <is>
          <t>Partner</t>
        </is>
      </c>
      <c r="C7" s="30" t="inlineStr">
        <is>
          <t>Romano Law PLLC</t>
        </is>
      </c>
      <c r="D7" s="30" t="inlineStr">
        <is>
          <t>General+Crypto</t>
        </is>
      </c>
      <c r="E7" s="30" t="inlineStr">
        <is>
          <t>Tier 1</t>
        </is>
      </c>
      <c r="F7" s="30" t="inlineStr">
        <is>
          <t>PRIMARY TARGET</t>
        </is>
      </c>
      <c r="G7" s="30" t="inlineStr"/>
      <c r="H7" s="30" t="inlineStr">
        <is>
          <t>Needs Research</t>
        </is>
      </c>
      <c r="I7" s="30" t="inlineStr"/>
      <c r="J7" s="30" t="inlineStr"/>
      <c r="K7" s="30" t="inlineStr"/>
      <c r="L7" s="30" t="inlineStr">
        <is>
          <t>Blockchain technologies, digital currencies, NFT, startup law</t>
        </is>
      </c>
      <c r="M7" s="30" t="inlineStr">
        <is>
          <t>Entertainment and tech focus; crypto litigation</t>
        </is>
      </c>
    </row>
    <row r="8">
      <c r="A8" s="30" t="inlineStr">
        <is>
          <t>Andres Munoz</t>
        </is>
      </c>
      <c r="B8" s="30" t="inlineStr">
        <is>
          <t>Attorney</t>
        </is>
      </c>
      <c r="C8" s="30" t="inlineStr">
        <is>
          <t>Romano Law PLLC</t>
        </is>
      </c>
      <c r="D8" s="30" t="inlineStr">
        <is>
          <t>General+Crypto</t>
        </is>
      </c>
      <c r="E8" s="30" t="inlineStr">
        <is>
          <t>Tier 2</t>
        </is>
      </c>
      <c r="F8" s="30" t="inlineStr">
        <is>
          <t>HIGH PRIORITY</t>
        </is>
      </c>
      <c r="G8" s="30" t="inlineStr"/>
      <c r="H8" s="30" t="inlineStr">
        <is>
          <t>Needs Research</t>
        </is>
      </c>
      <c r="I8" s="30" t="inlineStr"/>
      <c r="J8" s="30" t="inlineStr"/>
      <c r="K8" s="30" t="inlineStr"/>
      <c r="L8" s="30" t="inlineStr">
        <is>
          <t>Cryptocurrency litigation, blockchain disputes, NFT law</t>
        </is>
      </c>
      <c r="M8" s="30" t="inlineStr">
        <is>
          <t>Admitted in NY and FL; crypto dispute specialist</t>
        </is>
      </c>
    </row>
    <row r="9">
      <c r="A9" s="30" t="inlineStr">
        <is>
          <t>Jeffrey Alberts</t>
        </is>
      </c>
      <c r="B9" s="30" t="inlineStr">
        <is>
          <t>Partner</t>
        </is>
      </c>
      <c r="C9" s="30" t="inlineStr">
        <is>
          <t>Pryor Cashman LLP</t>
        </is>
      </c>
      <c r="D9" s="30" t="inlineStr">
        <is>
          <t>General+Crypto</t>
        </is>
      </c>
      <c r="E9" s="30" t="inlineStr">
        <is>
          <t>Tier 1</t>
        </is>
      </c>
      <c r="F9" s="30" t="inlineStr">
        <is>
          <t>PRIMARY TARGET</t>
        </is>
      </c>
      <c r="G9" s="30" t="inlineStr"/>
      <c r="H9" s="30" t="inlineStr">
        <is>
          <t>Needs Research</t>
        </is>
      </c>
      <c r="I9" s="30" t="inlineStr"/>
      <c r="J9" s="30" t="inlineStr">
        <is>
          <t>(212) 421-4100</t>
        </is>
      </c>
      <c r="K9" s="30" t="inlineStr"/>
      <c r="L9" s="30" t="inlineStr">
        <is>
          <t>FinTech, blockchain, digital currency, AML compliance, securities</t>
        </is>
      </c>
      <c r="M9" s="30" t="inlineStr">
        <is>
          <t>Co-head of FinTech Group; represents crypto companies on regulatory matters</t>
        </is>
      </c>
    </row>
    <row r="10">
      <c r="A10" s="30" t="inlineStr">
        <is>
          <t>Megan Noh</t>
        </is>
      </c>
      <c r="B10" s="30" t="inlineStr">
        <is>
          <t>Partner</t>
        </is>
      </c>
      <c r="C10" s="30" t="inlineStr">
        <is>
          <t>Pryor Cashman LLP</t>
        </is>
      </c>
      <c r="D10" s="30" t="inlineStr">
        <is>
          <t>General+Crypto</t>
        </is>
      </c>
      <c r="E10" s="30" t="inlineStr">
        <is>
          <t>Tier 1</t>
        </is>
      </c>
      <c r="F10" s="30" t="inlineStr">
        <is>
          <t>PRIMARY TARGET</t>
        </is>
      </c>
      <c r="G10" s="30" t="inlineStr"/>
      <c r="H10" s="30" t="inlineStr">
        <is>
          <t>Needs Research</t>
        </is>
      </c>
      <c r="I10" s="30" t="inlineStr"/>
      <c r="J10" s="30" t="inlineStr">
        <is>
          <t>(212) 421-4100</t>
        </is>
      </c>
      <c r="K10" s="30" t="inlineStr"/>
      <c r="L10" s="30" t="inlineStr">
        <is>
          <t>NFT law, art law, blockchain IP, digital assets</t>
        </is>
      </c>
      <c r="M10" s="30" t="inlineStr">
        <is>
          <t>Co-chair Art Law Group; 15+ years experience; NFT litigation expert</t>
        </is>
      </c>
    </row>
    <row r="11">
      <c r="A11" s="30" t="inlineStr">
        <is>
          <t>William Charron</t>
        </is>
      </c>
      <c r="B11" s="30" t="inlineStr">
        <is>
          <t>Partner</t>
        </is>
      </c>
      <c r="C11" s="30" t="inlineStr">
        <is>
          <t>Pryor Cashman LLP</t>
        </is>
      </c>
      <c r="D11" s="30" t="inlineStr">
        <is>
          <t>General+Crypto</t>
        </is>
      </c>
      <c r="E11" s="30" t="inlineStr">
        <is>
          <t>Tier 2</t>
        </is>
      </c>
      <c r="F11" s="30" t="inlineStr">
        <is>
          <t>HIGH PRIORITY</t>
        </is>
      </c>
      <c r="G11" s="30" t="inlineStr"/>
      <c r="H11" s="30" t="inlineStr">
        <is>
          <t>Needs Research</t>
        </is>
      </c>
      <c r="I11" s="30" t="inlineStr"/>
      <c r="J11" s="30" t="inlineStr">
        <is>
          <t>(212) 421-4100</t>
        </is>
      </c>
      <c r="K11" s="30" t="inlineStr"/>
      <c r="L11" s="30" t="inlineStr">
        <is>
          <t>Art law, NFT litigation, blockchain disputes</t>
        </is>
      </c>
      <c r="M11" s="30" t="inlineStr">
        <is>
          <t>Co-chair Art Law; led world's first NFT ownership case (Quantum)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Category</t>
        </is>
      </c>
      <c r="B1" s="19" t="inlineStr">
        <is>
          <t>Tier</t>
        </is>
      </c>
      <c r="C1" s="19" t="inlineStr">
        <is>
          <t>Firm Name</t>
        </is>
      </c>
      <c r="D1" s="19" t="inlineStr">
        <is>
          <t>Website</t>
        </is>
      </c>
      <c r="E1" s="19" t="inlineStr">
        <is>
          <t>Phone</t>
        </is>
      </c>
      <c r="F1" s="19" t="inlineStr">
        <is>
          <t>Location</t>
        </is>
      </c>
      <c r="G1" s="19" t="inlineStr">
        <is>
          <t>City</t>
        </is>
      </c>
      <c r="H1" s="19" t="inlineStr">
        <is>
          <t>State</t>
        </is>
      </c>
      <c r="I1" s="19" t="inlineStr">
        <is>
          <t>Firm Size</t>
        </is>
      </c>
      <c r="J1" s="19" t="inlineStr">
        <is>
          <t>Revenue Range</t>
        </is>
      </c>
      <c r="K1" s="19" t="inlineStr">
        <is>
          <t>Practice Focus</t>
        </is>
      </c>
      <c r="L1" s="19" t="inlineStr">
        <is>
          <t>Priority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Attorney Name</t>
        </is>
      </c>
      <c r="B1" s="19" t="inlineStr">
        <is>
          <t>Title</t>
        </is>
      </c>
      <c r="C1" s="19" t="inlineStr">
        <is>
          <t>Firm Name</t>
        </is>
      </c>
      <c r="D1" s="19" t="inlineStr">
        <is>
          <t>Firm Category</t>
        </is>
      </c>
      <c r="E1" s="19" t="inlineStr">
        <is>
          <t>Firm Tier</t>
        </is>
      </c>
      <c r="F1" s="19" t="inlineStr">
        <is>
          <t>Priority</t>
        </is>
      </c>
      <c r="G1" s="19" t="inlineStr">
        <is>
          <t>Professional Email</t>
        </is>
      </c>
      <c r="H1" s="19" t="inlineStr">
        <is>
          <t>Email Status</t>
        </is>
      </c>
      <c r="I1" s="19" t="inlineStr">
        <is>
          <t>Mobile Phone</t>
        </is>
      </c>
      <c r="J1" s="19" t="inlineStr">
        <is>
          <t>Office Phone</t>
        </is>
      </c>
      <c r="K1" s="19" t="inlineStr">
        <is>
          <t>LinkedIn Profile</t>
        </is>
      </c>
      <c r="L1" s="19" t="inlineStr">
        <is>
          <t>Practice Areas</t>
        </is>
      </c>
      <c r="M1" s="19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2025-12-15T02:29:52Z</dcterms:created>
  <dcterms:modified xmlns:dcterms="http://purl.org/dc/terms/" xmlns:xsi="http://www.w3.org/2001/XMLSchema-instance" xsi:type="dcterms:W3CDTF">2025-12-15T14:41:36Z</dcterms:modified>
  <cp:lastModifiedBy>Sean Weiss</cp:lastModifiedBy>
  <cp:revision>0</cp:revision>
</cp:coreProperties>
</file>
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an Weiss\Desktop\BlockDrive\Financial_Model_Excel\"/>
    </mc:Choice>
  </mc:AlternateContent>
  <xr:revisionPtr revIDLastSave="0" documentId="8_{429D87C9-041C-4C78-9E22-9D0797863B71}" xr6:coauthVersionLast="47" xr6:coauthVersionMax="47" xr10:uidLastSave="{00000000-0000-0000-0000-000000000000}"/>
  <bookViews>
    <workbookView xWindow="-98" yWindow="-98" windowWidth="21795" windowHeight="12975" tabRatio="500" firstSheet="6" activeTab="9" xr2:uid="{00000000-000D-0000-FFFF-FFFF00000000}"/>
  </bookViews>
  <sheets>
    <sheet name="Executive Summary" sheetId="1" r:id="rId1"/>
    <sheet name="Revenue Model" sheetId="2" r:id="rId2"/>
    <sheet name="COGS Analysis" sheetId="3" r:id="rId3"/>
    <sheet name="Staffing Plan" sheetId="4" r:id="rId4"/>
    <sheet name="Operating Expenses" sheetId="5" r:id="rId5"/>
    <sheet name="P&amp;L Statement" sheetId="6" r:id="rId6"/>
    <sheet name="Unit Economics" sheetId="7" r:id="rId7"/>
    <sheet name="Cap Table &amp; SAFE" sheetId="8" r:id="rId8"/>
    <sheet name="Use of Funds" sheetId="9" r:id="rId9"/>
    <sheet name="Model Inputs" sheetId="10" r:id="rId10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0" i="10" l="1"/>
  <c r="H230" i="10"/>
  <c r="P229" i="10"/>
  <c r="P230" i="10" s="1"/>
  <c r="M229" i="10"/>
  <c r="M230" i="10" s="1"/>
  <c r="L229" i="10"/>
  <c r="L230" i="10" s="1"/>
  <c r="K229" i="10"/>
  <c r="K230" i="10" s="1"/>
  <c r="J229" i="10"/>
  <c r="J230" i="10" s="1"/>
  <c r="I229" i="10"/>
  <c r="I230" i="10" s="1"/>
  <c r="G229" i="10"/>
  <c r="G230" i="10" s="1"/>
  <c r="F229" i="10"/>
  <c r="F230" i="10" s="1"/>
  <c r="Y228" i="10"/>
  <c r="V228" i="10"/>
  <c r="M228" i="10"/>
  <c r="M231" i="10" s="1"/>
  <c r="J228" i="10"/>
  <c r="J231" i="10" s="1"/>
  <c r="J18" i="5" s="1"/>
  <c r="AJ227" i="10"/>
  <c r="AJ228" i="10" s="1"/>
  <c r="AD227" i="10"/>
  <c r="AD228" i="10" s="1"/>
  <c r="AC227" i="10"/>
  <c r="AC228" i="10" s="1"/>
  <c r="AA227" i="10"/>
  <c r="AA228" i="10" s="1"/>
  <c r="Z227" i="10"/>
  <c r="Z228" i="10" s="1"/>
  <c r="X227" i="10"/>
  <c r="X228" i="10" s="1"/>
  <c r="U227" i="10"/>
  <c r="U228" i="10" s="1"/>
  <c r="T227" i="10"/>
  <c r="T228" i="10" s="1"/>
  <c r="Q227" i="10"/>
  <c r="Q228" i="10" s="1"/>
  <c r="M227" i="10"/>
  <c r="K227" i="10"/>
  <c r="K228" i="10" s="1"/>
  <c r="J227" i="10"/>
  <c r="AN226" i="10"/>
  <c r="AM226" i="10"/>
  <c r="AM227" i="10" s="1"/>
  <c r="AM228" i="10" s="1"/>
  <c r="AL226" i="10"/>
  <c r="AL227" i="10" s="1"/>
  <c r="AL228" i="10" s="1"/>
  <c r="AK226" i="10"/>
  <c r="AK227" i="10" s="1"/>
  <c r="AK228" i="10" s="1"/>
  <c r="AJ226" i="10"/>
  <c r="AI226" i="10"/>
  <c r="AI227" i="10" s="1"/>
  <c r="AI228" i="10" s="1"/>
  <c r="AH226" i="10"/>
  <c r="AH227" i="10" s="1"/>
  <c r="AH228" i="10" s="1"/>
  <c r="AG226" i="10"/>
  <c r="AF226" i="10"/>
  <c r="AF227" i="10" s="1"/>
  <c r="AF228" i="10" s="1"/>
  <c r="AE226" i="10"/>
  <c r="AD226" i="10"/>
  <c r="AC226" i="10"/>
  <c r="AB226" i="10"/>
  <c r="AB227" i="10" s="1"/>
  <c r="AB228" i="10" s="1"/>
  <c r="AA226" i="10"/>
  <c r="Z226" i="10"/>
  <c r="Y226" i="10"/>
  <c r="Y227" i="10" s="1"/>
  <c r="X226" i="10"/>
  <c r="W226" i="10"/>
  <c r="W227" i="10" s="1"/>
  <c r="W228" i="10" s="1"/>
  <c r="V226" i="10"/>
  <c r="V227" i="10" s="1"/>
  <c r="U226" i="10"/>
  <c r="T226" i="10"/>
  <c r="S226" i="10"/>
  <c r="S227" i="10" s="1"/>
  <c r="S228" i="10" s="1"/>
  <c r="R226" i="10"/>
  <c r="Q226" i="10"/>
  <c r="P226" i="10"/>
  <c r="P227" i="10" s="1"/>
  <c r="P228" i="10" s="1"/>
  <c r="P231" i="10" s="1"/>
  <c r="O226" i="10"/>
  <c r="O229" i="10" s="1"/>
  <c r="O230" i="10" s="1"/>
  <c r="N226" i="10"/>
  <c r="N229" i="10" s="1"/>
  <c r="M226" i="10"/>
  <c r="L226" i="10"/>
  <c r="L227" i="10" s="1"/>
  <c r="L228" i="10" s="1"/>
  <c r="K226" i="10"/>
  <c r="J226" i="10"/>
  <c r="I226" i="10"/>
  <c r="I227" i="10" s="1"/>
  <c r="I228" i="10" s="1"/>
  <c r="I231" i="10" s="1"/>
  <c r="H226" i="10"/>
  <c r="H229" i="10" s="1"/>
  <c r="G226" i="10"/>
  <c r="G227" i="10" s="1"/>
  <c r="G228" i="10" s="1"/>
  <c r="F226" i="10"/>
  <c r="F227" i="10" s="1"/>
  <c r="F228" i="10" s="1"/>
  <c r="F231" i="10" s="1"/>
  <c r="E226" i="10"/>
  <c r="E229" i="10" s="1"/>
  <c r="E230" i="10" s="1"/>
  <c r="AL221" i="10"/>
  <c r="AN219" i="10"/>
  <c r="AN220" i="10" s="1"/>
  <c r="AN221" i="10" s="1"/>
  <c r="AM219" i="10"/>
  <c r="AL219" i="10"/>
  <c r="AL220" i="10" s="1"/>
  <c r="AJ219" i="10"/>
  <c r="AI219" i="10"/>
  <c r="AG219" i="10"/>
  <c r="AF219" i="10"/>
  <c r="AD219" i="10"/>
  <c r="AC219" i="10"/>
  <c r="AA219" i="10"/>
  <c r="Z219" i="10"/>
  <c r="X219" i="10"/>
  <c r="W219" i="10"/>
  <c r="U219" i="10"/>
  <c r="T219" i="10"/>
  <c r="R219" i="10"/>
  <c r="Q219" i="10"/>
  <c r="O219" i="10"/>
  <c r="N219" i="10"/>
  <c r="L219" i="10"/>
  <c r="K219" i="10"/>
  <c r="I219" i="10"/>
  <c r="H219" i="10"/>
  <c r="F219" i="10"/>
  <c r="E219" i="10"/>
  <c r="J204" i="10"/>
  <c r="I204" i="10"/>
  <c r="H204" i="10"/>
  <c r="G204" i="10"/>
  <c r="F204" i="10"/>
  <c r="E204" i="10"/>
  <c r="AL199" i="10"/>
  <c r="AN198" i="10"/>
  <c r="AN199" i="10" s="1"/>
  <c r="AM198" i="10"/>
  <c r="AM199" i="10" s="1"/>
  <c r="AL198" i="10"/>
  <c r="AN196" i="10"/>
  <c r="AM196" i="10"/>
  <c r="AL196" i="10"/>
  <c r="AN195" i="10"/>
  <c r="AM195" i="10"/>
  <c r="AL195" i="10"/>
  <c r="AN194" i="10"/>
  <c r="AM194" i="10"/>
  <c r="AL194" i="10"/>
  <c r="AN193" i="10"/>
  <c r="AM193" i="10"/>
  <c r="AL193" i="10"/>
  <c r="AN192" i="10"/>
  <c r="AM192" i="10"/>
  <c r="AL192" i="10"/>
  <c r="AN179" i="10"/>
  <c r="AM179" i="10"/>
  <c r="AL179" i="10"/>
  <c r="AN178" i="10"/>
  <c r="AM178" i="10"/>
  <c r="AL178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J175" i="10"/>
  <c r="AJ179" i="10" s="1"/>
  <c r="AJ174" i="10"/>
  <c r="AI174" i="10"/>
  <c r="AG174" i="10"/>
  <c r="AF174" i="10"/>
  <c r="AD174" i="10"/>
  <c r="AC174" i="10"/>
  <c r="AA174" i="10"/>
  <c r="Y174" i="10"/>
  <c r="X174" i="10"/>
  <c r="V174" i="10"/>
  <c r="S174" i="10"/>
  <c r="P174" i="10"/>
  <c r="K174" i="10"/>
  <c r="J174" i="10"/>
  <c r="I174" i="10"/>
  <c r="H174" i="10"/>
  <c r="F174" i="10"/>
  <c r="AK173" i="10"/>
  <c r="AK174" i="10" s="1"/>
  <c r="AJ173" i="10"/>
  <c r="AI173" i="10"/>
  <c r="AH173" i="10"/>
  <c r="AH174" i="10" s="1"/>
  <c r="AG173" i="10"/>
  <c r="AF173" i="10"/>
  <c r="AE173" i="10"/>
  <c r="AE174" i="10" s="1"/>
  <c r="AD173" i="10"/>
  <c r="AC173" i="10"/>
  <c r="AB173" i="10"/>
  <c r="AB174" i="10" s="1"/>
  <c r="AA173" i="10"/>
  <c r="Z173" i="10"/>
  <c r="Z174" i="10" s="1"/>
  <c r="Y173" i="10"/>
  <c r="X173" i="10"/>
  <c r="W173" i="10"/>
  <c r="W174" i="10" s="1"/>
  <c r="V173" i="10"/>
  <c r="U173" i="10"/>
  <c r="U174" i="10" s="1"/>
  <c r="T173" i="10"/>
  <c r="T174" i="10" s="1"/>
  <c r="S173" i="10"/>
  <c r="R173" i="10"/>
  <c r="R174" i="10" s="1"/>
  <c r="Q173" i="10"/>
  <c r="Q174" i="10" s="1"/>
  <c r="P173" i="10"/>
  <c r="O173" i="10"/>
  <c r="O174" i="10" s="1"/>
  <c r="N173" i="10"/>
  <c r="N174" i="10" s="1"/>
  <c r="M173" i="10"/>
  <c r="M174" i="10" s="1"/>
  <c r="L173" i="10"/>
  <c r="L174" i="10" s="1"/>
  <c r="K173" i="10"/>
  <c r="J173" i="10"/>
  <c r="I173" i="10"/>
  <c r="H173" i="10"/>
  <c r="G173" i="10"/>
  <c r="G174" i="10" s="1"/>
  <c r="F173" i="10"/>
  <c r="E173" i="10"/>
  <c r="E174" i="10" s="1"/>
  <c r="D173" i="10"/>
  <c r="D174" i="10" s="1"/>
  <c r="C173" i="10"/>
  <c r="C174" i="10" s="1"/>
  <c r="B173" i="10"/>
  <c r="B174" i="10" s="1"/>
  <c r="AK172" i="10"/>
  <c r="AI172" i="10"/>
  <c r="AH172" i="10"/>
  <c r="AG172" i="10"/>
  <c r="AF172" i="10"/>
  <c r="AD172" i="10"/>
  <c r="Y172" i="10"/>
  <c r="X172" i="10"/>
  <c r="W172" i="10"/>
  <c r="U172" i="10"/>
  <c r="S172" i="10"/>
  <c r="Q172" i="10"/>
  <c r="N172" i="10"/>
  <c r="I172" i="10"/>
  <c r="H172" i="10"/>
  <c r="G172" i="10"/>
  <c r="F172" i="10"/>
  <c r="E172" i="10"/>
  <c r="C172" i="10"/>
  <c r="B172" i="10"/>
  <c r="AK171" i="10"/>
  <c r="AJ171" i="10"/>
  <c r="AJ172" i="10" s="1"/>
  <c r="AI171" i="10"/>
  <c r="AH171" i="10"/>
  <c r="AG171" i="10"/>
  <c r="AF171" i="10"/>
  <c r="AF15" i="10" s="1"/>
  <c r="AE171" i="10"/>
  <c r="AE172" i="10" s="1"/>
  <c r="AD171" i="10"/>
  <c r="AC171" i="10"/>
  <c r="AC172" i="10" s="1"/>
  <c r="AB171" i="10"/>
  <c r="AB172" i="10" s="1"/>
  <c r="AA171" i="10"/>
  <c r="Z171" i="10"/>
  <c r="Z172" i="10" s="1"/>
  <c r="Y171" i="10"/>
  <c r="X171" i="10"/>
  <c r="W171" i="10"/>
  <c r="V171" i="10"/>
  <c r="V172" i="10" s="1"/>
  <c r="U171" i="10"/>
  <c r="T171" i="10"/>
  <c r="T172" i="10" s="1"/>
  <c r="S171" i="10"/>
  <c r="R171" i="10"/>
  <c r="R172" i="10" s="1"/>
  <c r="Q171" i="10"/>
  <c r="P171" i="10"/>
  <c r="P15" i="10" s="1"/>
  <c r="O171" i="10"/>
  <c r="O172" i="10" s="1"/>
  <c r="N171" i="10"/>
  <c r="M171" i="10"/>
  <c r="M172" i="10" s="1"/>
  <c r="L171" i="10"/>
  <c r="L172" i="10" s="1"/>
  <c r="K171" i="10"/>
  <c r="J171" i="10"/>
  <c r="J172" i="10" s="1"/>
  <c r="I171" i="10"/>
  <c r="I15" i="10" s="1"/>
  <c r="H171" i="10"/>
  <c r="G171" i="10"/>
  <c r="F171" i="10"/>
  <c r="E171" i="10"/>
  <c r="D171" i="10"/>
  <c r="D172" i="10" s="1"/>
  <c r="C171" i="10"/>
  <c r="B171" i="10"/>
  <c r="AJ170" i="10"/>
  <c r="AJ178" i="10" s="1"/>
  <c r="AI170" i="10"/>
  <c r="AI178" i="10" s="1"/>
  <c r="AG170" i="10"/>
  <c r="AG178" i="10" s="1"/>
  <c r="AF170" i="10"/>
  <c r="AF178" i="10" s="1"/>
  <c r="AE170" i="10"/>
  <c r="AD170" i="10"/>
  <c r="AD178" i="10" s="1"/>
  <c r="AC170" i="10"/>
  <c r="AA170" i="10"/>
  <c r="Y170" i="10"/>
  <c r="Y178" i="10" s="1"/>
  <c r="V170" i="10"/>
  <c r="S170" i="10"/>
  <c r="S178" i="10" s="1"/>
  <c r="P170" i="10"/>
  <c r="K170" i="10"/>
  <c r="I170" i="10"/>
  <c r="I178" i="10" s="1"/>
  <c r="H170" i="10"/>
  <c r="F170" i="10"/>
  <c r="F178" i="10" s="1"/>
  <c r="D170" i="10"/>
  <c r="C170" i="10"/>
  <c r="AK169" i="10"/>
  <c r="AK170" i="10" s="1"/>
  <c r="AJ169" i="10"/>
  <c r="AI169" i="10"/>
  <c r="AH169" i="10"/>
  <c r="AH170" i="10" s="1"/>
  <c r="AH178" i="10" s="1"/>
  <c r="AG169" i="10"/>
  <c r="AF169" i="10"/>
  <c r="AE169" i="10"/>
  <c r="AD169" i="10"/>
  <c r="AC169" i="10"/>
  <c r="AB169" i="10"/>
  <c r="AB170" i="10" s="1"/>
  <c r="AA169" i="10"/>
  <c r="Z169" i="10"/>
  <c r="Z15" i="10" s="1"/>
  <c r="Y169" i="10"/>
  <c r="X169" i="10"/>
  <c r="X170" i="10" s="1"/>
  <c r="X178" i="10" s="1"/>
  <c r="W169" i="10"/>
  <c r="W170" i="10" s="1"/>
  <c r="W178" i="10" s="1"/>
  <c r="V169" i="10"/>
  <c r="U169" i="10"/>
  <c r="U170" i="10" s="1"/>
  <c r="T169" i="10"/>
  <c r="T170" i="10" s="1"/>
  <c r="S169" i="10"/>
  <c r="R169" i="10"/>
  <c r="R170" i="10" s="1"/>
  <c r="R178" i="10" s="1"/>
  <c r="Q169" i="10"/>
  <c r="Q170" i="10" s="1"/>
  <c r="P169" i="10"/>
  <c r="O169" i="10"/>
  <c r="N169" i="10"/>
  <c r="N170" i="10" s="1"/>
  <c r="M169" i="10"/>
  <c r="L169" i="10"/>
  <c r="L170" i="10" s="1"/>
  <c r="K169" i="10"/>
  <c r="J169" i="10"/>
  <c r="J15" i="10" s="1"/>
  <c r="I169" i="10"/>
  <c r="H169" i="10"/>
  <c r="G169" i="10"/>
  <c r="G170" i="10" s="1"/>
  <c r="G178" i="10" s="1"/>
  <c r="F169" i="10"/>
  <c r="E169" i="10"/>
  <c r="E170" i="10" s="1"/>
  <c r="D169" i="10"/>
  <c r="C169" i="10"/>
  <c r="B169" i="10"/>
  <c r="B170" i="10" s="1"/>
  <c r="AI168" i="10"/>
  <c r="AH168" i="10"/>
  <c r="AH175" i="10" s="1"/>
  <c r="AG168" i="10"/>
  <c r="AF168" i="10"/>
  <c r="AF175" i="10" s="1"/>
  <c r="AD168" i="10"/>
  <c r="AB168" i="10"/>
  <c r="Y168" i="10"/>
  <c r="X168" i="10"/>
  <c r="V168" i="10"/>
  <c r="V175" i="10" s="1"/>
  <c r="Q168" i="10"/>
  <c r="N168" i="10"/>
  <c r="H168" i="10"/>
  <c r="F168" i="10"/>
  <c r="F175" i="10" s="1"/>
  <c r="C168" i="10"/>
  <c r="B168" i="10"/>
  <c r="B175" i="10" s="1"/>
  <c r="B177" i="10" s="1"/>
  <c r="AK167" i="10"/>
  <c r="AK168" i="10" s="1"/>
  <c r="AK175" i="10" s="1"/>
  <c r="AJ167" i="10"/>
  <c r="AJ168" i="10" s="1"/>
  <c r="AI167" i="10"/>
  <c r="AH167" i="10"/>
  <c r="AG167" i="10"/>
  <c r="AF167" i="10"/>
  <c r="AE167" i="10"/>
  <c r="AE168" i="10" s="1"/>
  <c r="AE175" i="10" s="1"/>
  <c r="AD167" i="10"/>
  <c r="AC167" i="10"/>
  <c r="AC168" i="10" s="1"/>
  <c r="AB167" i="10"/>
  <c r="AA167" i="10"/>
  <c r="AA168" i="10" s="1"/>
  <c r="Z167" i="10"/>
  <c r="Z168" i="10" s="1"/>
  <c r="Y167" i="10"/>
  <c r="X167" i="10"/>
  <c r="W167" i="10"/>
  <c r="W168" i="10" s="1"/>
  <c r="W175" i="10" s="1"/>
  <c r="V167" i="10"/>
  <c r="U167" i="10"/>
  <c r="U168" i="10" s="1"/>
  <c r="U175" i="10" s="1"/>
  <c r="T167" i="10"/>
  <c r="T168" i="10" s="1"/>
  <c r="S167" i="10"/>
  <c r="S168" i="10" s="1"/>
  <c r="S175" i="10" s="1"/>
  <c r="R167" i="10"/>
  <c r="R168" i="10" s="1"/>
  <c r="Q167" i="10"/>
  <c r="P167" i="10"/>
  <c r="P168" i="10" s="1"/>
  <c r="O167" i="10"/>
  <c r="O168" i="10" s="1"/>
  <c r="N167" i="10"/>
  <c r="M167" i="10"/>
  <c r="M168" i="10" s="1"/>
  <c r="L167" i="10"/>
  <c r="L168" i="10" s="1"/>
  <c r="K167" i="10"/>
  <c r="K168" i="10" s="1"/>
  <c r="J167" i="10"/>
  <c r="J168" i="10" s="1"/>
  <c r="I167" i="10"/>
  <c r="I168" i="10" s="1"/>
  <c r="I175" i="10" s="1"/>
  <c r="I177" i="10" s="1"/>
  <c r="H167" i="10"/>
  <c r="G167" i="10"/>
  <c r="G168" i="10" s="1"/>
  <c r="G175" i="10" s="1"/>
  <c r="F167" i="10"/>
  <c r="E167" i="10"/>
  <c r="E168" i="10" s="1"/>
  <c r="E175" i="10" s="1"/>
  <c r="D167" i="10"/>
  <c r="D168" i="10" s="1"/>
  <c r="C167" i="10"/>
  <c r="B167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K146" i="10"/>
  <c r="G145" i="10"/>
  <c r="E145" i="10"/>
  <c r="D145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M142" i="10"/>
  <c r="L142" i="10"/>
  <c r="K142" i="10"/>
  <c r="J142" i="10"/>
  <c r="H142" i="10"/>
  <c r="E142" i="10"/>
  <c r="B142" i="10"/>
  <c r="M141" i="10"/>
  <c r="L141" i="10"/>
  <c r="K141" i="10"/>
  <c r="J141" i="10"/>
  <c r="I141" i="10"/>
  <c r="H141" i="10"/>
  <c r="G141" i="10"/>
  <c r="G142" i="10" s="1"/>
  <c r="F141" i="10"/>
  <c r="F142" i="10" s="1"/>
  <c r="E141" i="10"/>
  <c r="D141" i="10"/>
  <c r="D142" i="10" s="1"/>
  <c r="C141" i="10"/>
  <c r="B141" i="10"/>
  <c r="N140" i="10"/>
  <c r="K139" i="10"/>
  <c r="G139" i="10"/>
  <c r="E139" i="10"/>
  <c r="D139" i="10"/>
  <c r="C139" i="10"/>
  <c r="M138" i="10"/>
  <c r="L138" i="10"/>
  <c r="L139" i="10" s="1"/>
  <c r="K138" i="10"/>
  <c r="J138" i="10"/>
  <c r="I138" i="10"/>
  <c r="I139" i="10" s="1"/>
  <c r="H138" i="10"/>
  <c r="H139" i="10" s="1"/>
  <c r="H146" i="10" s="1"/>
  <c r="G138" i="10"/>
  <c r="F138" i="10"/>
  <c r="F139" i="10" s="1"/>
  <c r="E138" i="10"/>
  <c r="D138" i="10"/>
  <c r="C138" i="10"/>
  <c r="B138" i="10"/>
  <c r="B139" i="10" s="1"/>
  <c r="M135" i="10"/>
  <c r="L135" i="10"/>
  <c r="K135" i="10"/>
  <c r="I135" i="10"/>
  <c r="H135" i="10"/>
  <c r="F135" i="10"/>
  <c r="E135" i="10"/>
  <c r="D135" i="10"/>
  <c r="C135" i="10"/>
  <c r="M134" i="10"/>
  <c r="L134" i="10"/>
  <c r="L145" i="10" s="1"/>
  <c r="K134" i="10"/>
  <c r="K145" i="10" s="1"/>
  <c r="J134" i="10"/>
  <c r="J135" i="10" s="1"/>
  <c r="I134" i="10"/>
  <c r="H134" i="10"/>
  <c r="H145" i="10" s="1"/>
  <c r="G134" i="10"/>
  <c r="G135" i="10" s="1"/>
  <c r="G146" i="10" s="1"/>
  <c r="F134" i="10"/>
  <c r="E134" i="10"/>
  <c r="D134" i="10"/>
  <c r="C134" i="10"/>
  <c r="B134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D110" i="10"/>
  <c r="E108" i="10"/>
  <c r="E107" i="10"/>
  <c r="E106" i="10"/>
  <c r="E105" i="10"/>
  <c r="E104" i="10"/>
  <c r="E110" i="10" s="1"/>
  <c r="B95" i="10"/>
  <c r="C93" i="10"/>
  <c r="C95" i="10" s="1"/>
  <c r="B93" i="10"/>
  <c r="B89" i="10"/>
  <c r="C88" i="10"/>
  <c r="B88" i="10"/>
  <c r="C86" i="10"/>
  <c r="B86" i="10"/>
  <c r="F44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C40" i="10"/>
  <c r="B40" i="10"/>
  <c r="D39" i="10"/>
  <c r="D38" i="10"/>
  <c r="D37" i="10"/>
  <c r="C33" i="10"/>
  <c r="B33" i="10"/>
  <c r="D32" i="10"/>
  <c r="D31" i="10"/>
  <c r="D30" i="10"/>
  <c r="D29" i="10"/>
  <c r="AL20" i="10"/>
  <c r="AK15" i="10"/>
  <c r="AJ15" i="10"/>
  <c r="AI15" i="10"/>
  <c r="AH15" i="10"/>
  <c r="AG15" i="10"/>
  <c r="AE15" i="10"/>
  <c r="AD15" i="10"/>
  <c r="AC15" i="10"/>
  <c r="Y15" i="10"/>
  <c r="X15" i="10"/>
  <c r="V15" i="10"/>
  <c r="U15" i="10"/>
  <c r="T15" i="10"/>
  <c r="S15" i="10"/>
  <c r="R15" i="10"/>
  <c r="Q15" i="10"/>
  <c r="O15" i="10"/>
  <c r="N15" i="10"/>
  <c r="N17" i="5" s="1"/>
  <c r="M15" i="10"/>
  <c r="L15" i="10"/>
  <c r="H15" i="10"/>
  <c r="G15" i="10"/>
  <c r="F15" i="10"/>
  <c r="E15" i="10"/>
  <c r="D15" i="10"/>
  <c r="C15" i="10"/>
  <c r="B15" i="10"/>
  <c r="C6" i="8"/>
  <c r="E28" i="7"/>
  <c r="D28" i="7"/>
  <c r="C28" i="7"/>
  <c r="E26" i="7"/>
  <c r="D26" i="7"/>
  <c r="C26" i="7"/>
  <c r="E24" i="7"/>
  <c r="D24" i="7"/>
  <c r="C24" i="7"/>
  <c r="E11" i="7"/>
  <c r="D11" i="7"/>
  <c r="C11" i="7"/>
  <c r="E10" i="7"/>
  <c r="D10" i="7"/>
  <c r="C10" i="7"/>
  <c r="E9" i="7"/>
  <c r="D9" i="7"/>
  <c r="C9" i="7"/>
  <c r="E8" i="7"/>
  <c r="D8" i="7"/>
  <c r="C8" i="7"/>
  <c r="E7" i="7"/>
  <c r="D7" i="7"/>
  <c r="C7" i="7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R13" i="6"/>
  <c r="AQ13" i="6"/>
  <c r="AP13" i="6"/>
  <c r="AO13" i="6"/>
  <c r="AR12" i="6"/>
  <c r="AQ12" i="6"/>
  <c r="AP12" i="6"/>
  <c r="AO12" i="6"/>
  <c r="AN12" i="6"/>
  <c r="AM12" i="6"/>
  <c r="AL12" i="6"/>
  <c r="AL7" i="6"/>
  <c r="D21" i="5"/>
  <c r="C21" i="5"/>
  <c r="B21" i="5"/>
  <c r="AN20" i="5"/>
  <c r="AM20" i="5"/>
  <c r="P18" i="5"/>
  <c r="M18" i="5"/>
  <c r="I18" i="5"/>
  <c r="F18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Z17" i="5"/>
  <c r="Y17" i="5"/>
  <c r="X17" i="5"/>
  <c r="V17" i="5"/>
  <c r="U17" i="5"/>
  <c r="T17" i="5"/>
  <c r="S17" i="5"/>
  <c r="R17" i="5"/>
  <c r="Q17" i="5"/>
  <c r="P17" i="5"/>
  <c r="O17" i="5"/>
  <c r="M17" i="5"/>
  <c r="L17" i="5"/>
  <c r="J17" i="5"/>
  <c r="I17" i="5"/>
  <c r="H17" i="5"/>
  <c r="G17" i="5"/>
  <c r="F17" i="5"/>
  <c r="E17" i="5"/>
  <c r="D17" i="5"/>
  <c r="C17" i="5"/>
  <c r="B17" i="5"/>
  <c r="AG14" i="5"/>
  <c r="Q14" i="5"/>
  <c r="AK13" i="5"/>
  <c r="AG13" i="5"/>
  <c r="U13" i="5"/>
  <c r="Q13" i="5"/>
  <c r="E13" i="5"/>
  <c r="AG6" i="5"/>
  <c r="Y6" i="5"/>
  <c r="W6" i="5"/>
  <c r="Q6" i="5"/>
  <c r="I6" i="5"/>
  <c r="G6" i="5"/>
  <c r="AC5" i="5"/>
  <c r="M5" i="5"/>
  <c r="Z32" i="4"/>
  <c r="V24" i="5" s="1"/>
  <c r="V12" i="6" s="1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AO30" i="4"/>
  <c r="AK14" i="5" s="1"/>
  <c r="AN30" i="4"/>
  <c r="AJ5" i="5" s="1"/>
  <c r="AM30" i="4"/>
  <c r="AI5" i="5" s="1"/>
  <c r="AL30" i="4"/>
  <c r="AH5" i="5" s="1"/>
  <c r="AK30" i="4"/>
  <c r="AG5" i="5" s="1"/>
  <c r="AG15" i="5" s="1"/>
  <c r="AJ30" i="4"/>
  <c r="AF6" i="5" s="1"/>
  <c r="AI30" i="4"/>
  <c r="AH30" i="4"/>
  <c r="AG30" i="4"/>
  <c r="AF30" i="4"/>
  <c r="AB13" i="5" s="1"/>
  <c r="AE30" i="4"/>
  <c r="AA13" i="5" s="1"/>
  <c r="AD30" i="4"/>
  <c r="Z13" i="5" s="1"/>
  <c r="AC30" i="4"/>
  <c r="Y13" i="5" s="1"/>
  <c r="AB30" i="4"/>
  <c r="X14" i="5" s="1"/>
  <c r="AA30" i="4"/>
  <c r="W14" i="5" s="1"/>
  <c r="Z30" i="4"/>
  <c r="Y30" i="4"/>
  <c r="U14" i="5" s="1"/>
  <c r="X30" i="4"/>
  <c r="T5" i="5" s="1"/>
  <c r="W30" i="4"/>
  <c r="S5" i="5" s="1"/>
  <c r="V30" i="4"/>
  <c r="R5" i="5" s="1"/>
  <c r="U30" i="4"/>
  <c r="Q5" i="5" s="1"/>
  <c r="Q15" i="5" s="1"/>
  <c r="T30" i="4"/>
  <c r="P6" i="5" s="1"/>
  <c r="S30" i="4"/>
  <c r="R30" i="4"/>
  <c r="Q30" i="4"/>
  <c r="P30" i="4"/>
  <c r="L13" i="5" s="1"/>
  <c r="O30" i="4"/>
  <c r="K13" i="5" s="1"/>
  <c r="N30" i="4"/>
  <c r="J13" i="5" s="1"/>
  <c r="M30" i="4"/>
  <c r="I13" i="5" s="1"/>
  <c r="L30" i="4"/>
  <c r="H14" i="5" s="1"/>
  <c r="K30" i="4"/>
  <c r="G14" i="5" s="1"/>
  <c r="J30" i="4"/>
  <c r="I30" i="4"/>
  <c r="E14" i="5" s="1"/>
  <c r="H30" i="4"/>
  <c r="D5" i="5" s="1"/>
  <c r="G30" i="4"/>
  <c r="C5" i="5" s="1"/>
  <c r="F30" i="4"/>
  <c r="B5" i="5" s="1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F33" i="4" s="1"/>
  <c r="AO4" i="4"/>
  <c r="AO33" i="4" s="1"/>
  <c r="AN4" i="4"/>
  <c r="AM4" i="4"/>
  <c r="AL4" i="4"/>
  <c r="AK4" i="4"/>
  <c r="AK33" i="4" s="1"/>
  <c r="AG17" i="1" s="1"/>
  <c r="AJ4" i="4"/>
  <c r="AI4" i="4"/>
  <c r="AH4" i="4"/>
  <c r="AH32" i="4" s="1"/>
  <c r="AD24" i="5" s="1"/>
  <c r="AD12" i="6" s="1"/>
  <c r="AG4" i="4"/>
  <c r="AF4" i="4"/>
  <c r="AE4" i="4"/>
  <c r="AD4" i="4"/>
  <c r="AC4" i="4"/>
  <c r="AB4" i="4"/>
  <c r="AA4" i="4"/>
  <c r="Z4" i="4"/>
  <c r="Z33" i="4" s="1"/>
  <c r="Y4" i="4"/>
  <c r="Y33" i="4" s="1"/>
  <c r="X4" i="4"/>
  <c r="W4" i="4"/>
  <c r="V4" i="4"/>
  <c r="V33" i="4" s="1"/>
  <c r="R17" i="1" s="1"/>
  <c r="U4" i="4"/>
  <c r="U33" i="4" s="1"/>
  <c r="Q17" i="1" s="1"/>
  <c r="T4" i="4"/>
  <c r="S4" i="4"/>
  <c r="R4" i="4"/>
  <c r="Q4" i="4"/>
  <c r="P4" i="4"/>
  <c r="O4" i="4"/>
  <c r="N4" i="4"/>
  <c r="N33" i="4" s="1"/>
  <c r="M4" i="4"/>
  <c r="L4" i="4"/>
  <c r="K4" i="4"/>
  <c r="J4" i="4"/>
  <c r="J33" i="4" s="1"/>
  <c r="I4" i="4"/>
  <c r="I33" i="4" s="1"/>
  <c r="H4" i="4"/>
  <c r="G4" i="4"/>
  <c r="F4" i="4"/>
  <c r="AM23" i="3"/>
  <c r="AM22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C15" i="7" s="1" a="1"/>
  <c r="C15" i="7" s="1"/>
  <c r="AN37" i="2"/>
  <c r="AM37" i="2"/>
  <c r="AM229" i="10" s="1"/>
  <c r="AM230" i="10" s="1"/>
  <c r="AN26" i="2"/>
  <c r="AM26" i="2"/>
  <c r="B26" i="2"/>
  <c r="B23" i="2"/>
  <c r="AN22" i="2"/>
  <c r="AN23" i="2" s="1"/>
  <c r="AL19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AJ17" i="2"/>
  <c r="AI17" i="2"/>
  <c r="AF17" i="2"/>
  <c r="AE17" i="2"/>
  <c r="AC17" i="2"/>
  <c r="AB17" i="2"/>
  <c r="Y17" i="2"/>
  <c r="X17" i="2"/>
  <c r="W17" i="2"/>
  <c r="V17" i="2"/>
  <c r="U17" i="2"/>
  <c r="T17" i="2"/>
  <c r="S17" i="2"/>
  <c r="R17" i="2"/>
  <c r="Q17" i="2"/>
  <c r="P17" i="2"/>
  <c r="O17" i="2"/>
  <c r="N17" i="2"/>
  <c r="AL15" i="2"/>
  <c r="AL14" i="2"/>
  <c r="AL12" i="2"/>
  <c r="AL10" i="2"/>
  <c r="AL8" i="2"/>
  <c r="AL6" i="2"/>
  <c r="B31" i="1"/>
  <c r="D26" i="1"/>
  <c r="AK17" i="1"/>
  <c r="V17" i="1"/>
  <c r="U17" i="1"/>
  <c r="J17" i="1"/>
  <c r="F17" i="1"/>
  <c r="E17" i="1"/>
  <c r="B17" i="1"/>
  <c r="O6" i="5" l="1"/>
  <c r="O5" i="5"/>
  <c r="O14" i="5"/>
  <c r="O13" i="5"/>
  <c r="AE6" i="5"/>
  <c r="AE5" i="5"/>
  <c r="AE14" i="5"/>
  <c r="AE13" i="5"/>
  <c r="W32" i="4"/>
  <c r="S24" i="5" s="1"/>
  <c r="S12" i="6" s="1"/>
  <c r="W33" i="4"/>
  <c r="S17" i="1" s="1"/>
  <c r="AA32" i="4"/>
  <c r="W24" i="5" s="1"/>
  <c r="W12" i="6" s="1"/>
  <c r="AM33" i="4"/>
  <c r="AI17" i="1" s="1"/>
  <c r="AM32" i="4"/>
  <c r="AI24" i="5" s="1"/>
  <c r="AI12" i="6" s="1"/>
  <c r="G32" i="4"/>
  <c r="C24" i="5" s="1"/>
  <c r="C12" i="6" s="1"/>
  <c r="G33" i="4"/>
  <c r="C17" i="1" s="1"/>
  <c r="AL37" i="2"/>
  <c r="AL16" i="2"/>
  <c r="H33" i="4"/>
  <c r="D17" i="1" s="1"/>
  <c r="H32" i="4"/>
  <c r="D24" i="5" s="1"/>
  <c r="D12" i="6" s="1"/>
  <c r="X33" i="4"/>
  <c r="T17" i="1" s="1"/>
  <c r="X32" i="4"/>
  <c r="T24" i="5" s="1"/>
  <c r="T12" i="6" s="1"/>
  <c r="AN33" i="4"/>
  <c r="AJ17" i="1" s="1"/>
  <c r="AN32" i="4"/>
  <c r="AJ24" i="5" s="1"/>
  <c r="AJ12" i="6" s="1"/>
  <c r="E177" i="10"/>
  <c r="Q11" i="6"/>
  <c r="AG11" i="6"/>
  <c r="AO32" i="4"/>
  <c r="AK24" i="5" s="1"/>
  <c r="AK12" i="6" s="1"/>
  <c r="K33" i="4"/>
  <c r="G17" i="1" s="1"/>
  <c r="AA33" i="4"/>
  <c r="W17" i="1" s="1"/>
  <c r="AI15" i="5"/>
  <c r="E15" i="7" a="1"/>
  <c r="E15" i="7" s="1"/>
  <c r="L33" i="4"/>
  <c r="H17" i="1" s="1"/>
  <c r="AB33" i="4"/>
  <c r="X17" i="1" s="1"/>
  <c r="M32" i="4"/>
  <c r="I24" i="5" s="1"/>
  <c r="I12" i="6" s="1"/>
  <c r="M33" i="4"/>
  <c r="I17" i="1" s="1"/>
  <c r="AC32" i="4"/>
  <c r="Y24" i="5" s="1"/>
  <c r="Y12" i="6" s="1"/>
  <c r="AC33" i="4"/>
  <c r="Y17" i="1" s="1"/>
  <c r="C26" i="1" s="1"/>
  <c r="N32" i="4"/>
  <c r="J24" i="5" s="1"/>
  <c r="J12" i="6" s="1"/>
  <c r="AD32" i="4"/>
  <c r="Z24" i="5" s="1"/>
  <c r="Z12" i="6" s="1"/>
  <c r="AD33" i="4"/>
  <c r="Z17" i="1" s="1"/>
  <c r="F14" i="5"/>
  <c r="F13" i="5"/>
  <c r="F6" i="5"/>
  <c r="F5" i="5"/>
  <c r="V14" i="5"/>
  <c r="V13" i="5"/>
  <c r="V6" i="5"/>
  <c r="V5" i="5"/>
  <c r="V15" i="5" s="1"/>
  <c r="O32" i="4"/>
  <c r="K24" i="5" s="1"/>
  <c r="K12" i="6" s="1"/>
  <c r="AE32" i="4"/>
  <c r="AA24" i="5" s="1"/>
  <c r="AA12" i="6" s="1"/>
  <c r="D15" i="7" a="1"/>
  <c r="D15" i="7" s="1"/>
  <c r="P32" i="4"/>
  <c r="L24" i="5" s="1"/>
  <c r="L12" i="6" s="1"/>
  <c r="P33" i="4"/>
  <c r="L17" i="1" s="1"/>
  <c r="AF32" i="4"/>
  <c r="AB24" i="5" s="1"/>
  <c r="AB12" i="6" s="1"/>
  <c r="AF33" i="4"/>
  <c r="AB17" i="1" s="1"/>
  <c r="Q33" i="4"/>
  <c r="M17" i="1" s="1"/>
  <c r="B26" i="1" s="1"/>
  <c r="Q32" i="4"/>
  <c r="M24" i="5" s="1"/>
  <c r="M12" i="6" s="1"/>
  <c r="AG33" i="4"/>
  <c r="AC17" i="1" s="1"/>
  <c r="AG32" i="4"/>
  <c r="AC24" i="5" s="1"/>
  <c r="AC12" i="6" s="1"/>
  <c r="R33" i="4"/>
  <c r="N17" i="1" s="1"/>
  <c r="AH33" i="4"/>
  <c r="AD17" i="1" s="1"/>
  <c r="I32" i="4"/>
  <c r="E24" i="5" s="1"/>
  <c r="E12" i="6" s="1"/>
  <c r="S33" i="4"/>
  <c r="O17" i="1" s="1"/>
  <c r="S32" i="4"/>
  <c r="O24" i="5" s="1"/>
  <c r="O12" i="6" s="1"/>
  <c r="AI33" i="4"/>
  <c r="AE17" i="1" s="1"/>
  <c r="AI32" i="4"/>
  <c r="AE24" i="5" s="1"/>
  <c r="AE12" i="6" s="1"/>
  <c r="J32" i="4"/>
  <c r="F24" i="5" s="1"/>
  <c r="F12" i="6" s="1"/>
  <c r="T33" i="4"/>
  <c r="P17" i="1" s="1"/>
  <c r="T32" i="4"/>
  <c r="P24" i="5" s="1"/>
  <c r="P12" i="6" s="1"/>
  <c r="AJ33" i="4"/>
  <c r="AF17" i="1" s="1"/>
  <c r="AJ32" i="4"/>
  <c r="AF24" i="5" s="1"/>
  <c r="AF12" i="6" s="1"/>
  <c r="K32" i="4"/>
  <c r="G24" i="5" s="1"/>
  <c r="G12" i="6" s="1"/>
  <c r="U32" i="4"/>
  <c r="Q24" i="5" s="1"/>
  <c r="Q12" i="6" s="1"/>
  <c r="AK32" i="4"/>
  <c r="AG24" i="5" s="1"/>
  <c r="AG12" i="6" s="1"/>
  <c r="M6" i="5"/>
  <c r="M15" i="5" s="1"/>
  <c r="M14" i="5"/>
  <c r="M13" i="5"/>
  <c r="AC6" i="5"/>
  <c r="AC15" i="5" s="1"/>
  <c r="AC14" i="5"/>
  <c r="AC13" i="5"/>
  <c r="R32" i="4"/>
  <c r="N24" i="5" s="1"/>
  <c r="N12" i="6" s="1"/>
  <c r="F32" i="4"/>
  <c r="B24" i="5" s="1"/>
  <c r="B12" i="6" s="1"/>
  <c r="V32" i="4"/>
  <c r="R24" i="5" s="1"/>
  <c r="R12" i="6" s="1"/>
  <c r="AL33" i="4"/>
  <c r="AH17" i="1" s="1"/>
  <c r="AL32" i="4"/>
  <c r="AH24" i="5" s="1"/>
  <c r="AH12" i="6" s="1"/>
  <c r="N6" i="5"/>
  <c r="N5" i="5"/>
  <c r="N15" i="5" s="1"/>
  <c r="N14" i="5"/>
  <c r="N13" i="5"/>
  <c r="AD6" i="5"/>
  <c r="AD5" i="5"/>
  <c r="AD14" i="5"/>
  <c r="AD13" i="5"/>
  <c r="Y32" i="4"/>
  <c r="U24" i="5" s="1"/>
  <c r="U12" i="6" s="1"/>
  <c r="E5" i="5"/>
  <c r="E15" i="5" s="1"/>
  <c r="U5" i="5"/>
  <c r="AK5" i="5"/>
  <c r="AK15" i="5" s="1"/>
  <c r="I14" i="5"/>
  <c r="Y14" i="5"/>
  <c r="S179" i="10"/>
  <c r="S177" i="10"/>
  <c r="B6" i="5"/>
  <c r="B15" i="5" s="1"/>
  <c r="R6" i="5"/>
  <c r="R15" i="5" s="1"/>
  <c r="AH6" i="5"/>
  <c r="AH15" i="5" s="1"/>
  <c r="J14" i="5"/>
  <c r="Z14" i="5"/>
  <c r="AH177" i="10"/>
  <c r="AH179" i="10"/>
  <c r="O33" i="4"/>
  <c r="K17" i="1" s="1"/>
  <c r="AE33" i="4"/>
  <c r="AA17" i="1" s="1"/>
  <c r="G5" i="5"/>
  <c r="W5" i="5"/>
  <c r="C6" i="5"/>
  <c r="C15" i="5" s="1"/>
  <c r="S6" i="5"/>
  <c r="S15" i="5" s="1"/>
  <c r="AI6" i="5"/>
  <c r="K14" i="5"/>
  <c r="AA14" i="5"/>
  <c r="U179" i="10"/>
  <c r="U177" i="10"/>
  <c r="AK177" i="10"/>
  <c r="Q178" i="10"/>
  <c r="AC178" i="10"/>
  <c r="K15" i="10"/>
  <c r="K17" i="5" s="1"/>
  <c r="K172" i="10"/>
  <c r="AA15" i="10"/>
  <c r="AA17" i="5" s="1"/>
  <c r="AA172" i="10"/>
  <c r="AA178" i="10" s="1"/>
  <c r="I179" i="10"/>
  <c r="H5" i="5"/>
  <c r="H15" i="5" s="1"/>
  <c r="X5" i="5"/>
  <c r="D6" i="5"/>
  <c r="T6" i="5"/>
  <c r="T15" i="5" s="1"/>
  <c r="AJ6" i="5"/>
  <c r="AJ15" i="5" s="1"/>
  <c r="P13" i="5"/>
  <c r="AF13" i="5"/>
  <c r="L14" i="5"/>
  <c r="AB14" i="5"/>
  <c r="C142" i="10"/>
  <c r="C146" i="10" s="1"/>
  <c r="C145" i="10"/>
  <c r="AA17" i="2" s="1"/>
  <c r="B192" i="10"/>
  <c r="B5" i="2" s="1"/>
  <c r="B193" i="10"/>
  <c r="B7" i="2" s="1"/>
  <c r="B8" i="2" s="1"/>
  <c r="B194" i="10"/>
  <c r="B9" i="2" s="1"/>
  <c r="B10" i="2" s="1"/>
  <c r="B195" i="10"/>
  <c r="B11" i="2" s="1"/>
  <c r="B12" i="2" s="1"/>
  <c r="B196" i="10"/>
  <c r="B13" i="2" s="1"/>
  <c r="B14" i="2" s="1"/>
  <c r="I5" i="5"/>
  <c r="Y5" i="5"/>
  <c r="E6" i="5"/>
  <c r="U6" i="5"/>
  <c r="AK6" i="5"/>
  <c r="G179" i="10"/>
  <c r="G177" i="10"/>
  <c r="W179" i="10"/>
  <c r="W177" i="10"/>
  <c r="J5" i="5"/>
  <c r="Z5" i="5"/>
  <c r="Z15" i="5" s="1"/>
  <c r="B13" i="5"/>
  <c r="R13" i="5"/>
  <c r="AH13" i="5"/>
  <c r="T178" i="10"/>
  <c r="T175" i="10"/>
  <c r="AM197" i="10"/>
  <c r="AM200" i="10" s="1"/>
  <c r="AM202" i="10" s="1"/>
  <c r="AM203" i="10" s="1"/>
  <c r="K5" i="5"/>
  <c r="AA5" i="5"/>
  <c r="C13" i="5"/>
  <c r="S13" i="5"/>
  <c r="AI13" i="5"/>
  <c r="I192" i="10"/>
  <c r="I5" i="2" s="1"/>
  <c r="I194" i="10"/>
  <c r="I9" i="2" s="1"/>
  <c r="I10" i="2" s="1"/>
  <c r="I193" i="10"/>
  <c r="I7" i="2" s="1"/>
  <c r="I8" i="2" s="1"/>
  <c r="I195" i="10"/>
  <c r="I11" i="2" s="1"/>
  <c r="I12" i="2" s="1"/>
  <c r="I196" i="10"/>
  <c r="I13" i="2" s="1"/>
  <c r="I14" i="2" s="1"/>
  <c r="F177" i="10"/>
  <c r="F179" i="10"/>
  <c r="AN197" i="10"/>
  <c r="AN200" i="10" s="1"/>
  <c r="AN202" i="10" s="1"/>
  <c r="AN203" i="10" s="1"/>
  <c r="L5" i="5"/>
  <c r="AB5" i="5"/>
  <c r="AB15" i="5" s="1"/>
  <c r="H6" i="5"/>
  <c r="X6" i="5"/>
  <c r="D13" i="5"/>
  <c r="D15" i="5" s="1"/>
  <c r="T13" i="5"/>
  <c r="AJ13" i="5"/>
  <c r="P14" i="5"/>
  <c r="AF14" i="5"/>
  <c r="H175" i="10"/>
  <c r="D146" i="10"/>
  <c r="J139" i="10"/>
  <c r="J146" i="10" s="1"/>
  <c r="J145" i="10"/>
  <c r="AH17" i="2" s="1"/>
  <c r="K175" i="10"/>
  <c r="D175" i="10"/>
  <c r="D177" i="10" s="1"/>
  <c r="J6" i="5"/>
  <c r="Z6" i="5"/>
  <c r="B14" i="5"/>
  <c r="R14" i="5"/>
  <c r="AH14" i="5"/>
  <c r="I142" i="10"/>
  <c r="I146" i="10" s="1"/>
  <c r="I145" i="10"/>
  <c r="AG17" i="2" s="1"/>
  <c r="L175" i="10"/>
  <c r="K6" i="5"/>
  <c r="AA6" i="5"/>
  <c r="G13" i="5"/>
  <c r="W13" i="5"/>
  <c r="C14" i="5"/>
  <c r="S14" i="5"/>
  <c r="AI14" i="5"/>
  <c r="F146" i="10"/>
  <c r="AC175" i="10"/>
  <c r="V177" i="10"/>
  <c r="H178" i="10"/>
  <c r="L32" i="4"/>
  <c r="H24" i="5" s="1"/>
  <c r="H12" i="6" s="1"/>
  <c r="AB32" i="4"/>
  <c r="X24" i="5" s="1"/>
  <c r="X12" i="6" s="1"/>
  <c r="P5" i="5"/>
  <c r="P15" i="5" s="1"/>
  <c r="AF5" i="5"/>
  <c r="L6" i="5"/>
  <c r="AB6" i="5"/>
  <c r="H13" i="5"/>
  <c r="X13" i="5"/>
  <c r="D14" i="5"/>
  <c r="T14" i="5"/>
  <c r="AJ14" i="5"/>
  <c r="B135" i="10"/>
  <c r="B146" i="10" s="1"/>
  <c r="B145" i="10"/>
  <c r="Z17" i="2" s="1"/>
  <c r="M139" i="10"/>
  <c r="M146" i="10" s="1"/>
  <c r="M145" i="10"/>
  <c r="AK17" i="2" s="1"/>
  <c r="AE177" i="10"/>
  <c r="Y175" i="10"/>
  <c r="K178" i="10"/>
  <c r="AJ220" i="10"/>
  <c r="AJ221" i="10" s="1"/>
  <c r="AB175" i="10"/>
  <c r="L178" i="10"/>
  <c r="AB178" i="10"/>
  <c r="P178" i="10"/>
  <c r="AJ177" i="10"/>
  <c r="L146" i="10"/>
  <c r="R175" i="10"/>
  <c r="AF177" i="10"/>
  <c r="AF179" i="10"/>
  <c r="N178" i="10"/>
  <c r="V178" i="10"/>
  <c r="V179" i="10" s="1"/>
  <c r="W220" i="10"/>
  <c r="W221" i="10" s="1"/>
  <c r="E146" i="10"/>
  <c r="Z170" i="10"/>
  <c r="Z178" i="10" s="1"/>
  <c r="R227" i="10"/>
  <c r="R228" i="10" s="1"/>
  <c r="C175" i="10"/>
  <c r="C177" i="10" s="1"/>
  <c r="X175" i="10"/>
  <c r="F220" i="10"/>
  <c r="F221" i="10" s="1"/>
  <c r="F145" i="10"/>
  <c r="AD17" i="2" s="1"/>
  <c r="J170" i="10"/>
  <c r="J178" i="10" s="1"/>
  <c r="AE178" i="10"/>
  <c r="AE179" i="10" s="1"/>
  <c r="AD175" i="10"/>
  <c r="M170" i="10"/>
  <c r="AG175" i="10"/>
  <c r="P172" i="10"/>
  <c r="P175" i="10" s="1"/>
  <c r="AF220" i="10"/>
  <c r="AF221" i="10" s="1"/>
  <c r="G231" i="10"/>
  <c r="G18" i="5" s="1"/>
  <c r="AM231" i="10"/>
  <c r="AM18" i="5" s="1"/>
  <c r="O170" i="10"/>
  <c r="AN229" i="10"/>
  <c r="AN230" i="10" s="1"/>
  <c r="AG227" i="10"/>
  <c r="AG228" i="10" s="1"/>
  <c r="W15" i="10"/>
  <c r="W17" i="5" s="1"/>
  <c r="N175" i="10"/>
  <c r="AI175" i="10"/>
  <c r="E227" i="10"/>
  <c r="E228" i="10" s="1"/>
  <c r="E231" i="10" s="1"/>
  <c r="E18" i="5" s="1"/>
  <c r="H227" i="10"/>
  <c r="H228" i="10" s="1"/>
  <c r="H231" i="10" s="1"/>
  <c r="H18" i="5" s="1"/>
  <c r="Q175" i="10"/>
  <c r="L231" i="10"/>
  <c r="L18" i="5" s="1"/>
  <c r="K231" i="10"/>
  <c r="K18" i="5" s="1"/>
  <c r="AN227" i="10"/>
  <c r="AN228" i="10" s="1"/>
  <c r="AN231" i="10" s="1"/>
  <c r="AN18" i="5" s="1"/>
  <c r="AB15" i="10"/>
  <c r="AB17" i="5" s="1"/>
  <c r="E178" i="10"/>
  <c r="E179" i="10" s="1"/>
  <c r="U178" i="10"/>
  <c r="AK178" i="10"/>
  <c r="AK179" i="10" s="1"/>
  <c r="AM220" i="10"/>
  <c r="AM221" i="10" s="1"/>
  <c r="N227" i="10"/>
  <c r="N228" i="10" s="1"/>
  <c r="N231" i="10" s="1"/>
  <c r="N18" i="5" s="1"/>
  <c r="O227" i="10"/>
  <c r="O228" i="10" s="1"/>
  <c r="O231" i="10" s="1"/>
  <c r="O18" i="5" s="1"/>
  <c r="AE227" i="10"/>
  <c r="AE228" i="10" s="1"/>
  <c r="E220" i="10" l="1"/>
  <c r="E221" i="10" s="1"/>
  <c r="T11" i="6"/>
  <c r="AC11" i="6"/>
  <c r="P177" i="10"/>
  <c r="P179" i="10"/>
  <c r="R11" i="6"/>
  <c r="B11" i="6"/>
  <c r="D11" i="6"/>
  <c r="S11" i="6"/>
  <c r="M11" i="6"/>
  <c r="AH11" i="6"/>
  <c r="AJ11" i="6"/>
  <c r="C11" i="6"/>
  <c r="E195" i="10"/>
  <c r="E11" i="2" s="1"/>
  <c r="E12" i="2" s="1"/>
  <c r="E192" i="10"/>
  <c r="E5" i="2" s="1"/>
  <c r="E193" i="10"/>
  <c r="E7" i="2" s="1"/>
  <c r="E8" i="2" s="1"/>
  <c r="E194" i="10"/>
  <c r="E9" i="2" s="1"/>
  <c r="E10" i="2" s="1"/>
  <c r="E196" i="10"/>
  <c r="E13" i="2" s="1"/>
  <c r="E14" i="2" s="1"/>
  <c r="G15" i="5"/>
  <c r="AJ192" i="10"/>
  <c r="AJ5" i="2" s="1"/>
  <c r="AJ194" i="10"/>
  <c r="AJ9" i="2" s="1"/>
  <c r="AJ10" i="2" s="1"/>
  <c r="AJ195" i="10"/>
  <c r="AJ11" i="2" s="1"/>
  <c r="AJ12" i="2" s="1"/>
  <c r="AJ196" i="10"/>
  <c r="AJ13" i="2" s="1"/>
  <c r="AJ14" i="2" s="1"/>
  <c r="AJ193" i="10"/>
  <c r="AJ7" i="2" s="1"/>
  <c r="AJ8" i="2" s="1"/>
  <c r="Z11" i="6"/>
  <c r="AA175" i="10"/>
  <c r="W15" i="5"/>
  <c r="K179" i="10"/>
  <c r="K177" i="10"/>
  <c r="AK11" i="6"/>
  <c r="M178" i="10"/>
  <c r="M175" i="10"/>
  <c r="AA15" i="5"/>
  <c r="G192" i="10"/>
  <c r="G5" i="2" s="1"/>
  <c r="G193" i="10"/>
  <c r="G7" i="2" s="1"/>
  <c r="G8" i="2" s="1"/>
  <c r="G194" i="10"/>
  <c r="G9" i="2" s="1"/>
  <c r="G10" i="2" s="1"/>
  <c r="G195" i="10"/>
  <c r="G11" i="2" s="1"/>
  <c r="G12" i="2" s="1"/>
  <c r="G196" i="10"/>
  <c r="G13" i="2" s="1"/>
  <c r="G14" i="2" s="1"/>
  <c r="U15" i="5"/>
  <c r="AE15" i="5"/>
  <c r="N177" i="10"/>
  <c r="N179" i="10"/>
  <c r="B15" i="2"/>
  <c r="B6" i="2"/>
  <c r="B16" i="2" s="1"/>
  <c r="L177" i="10"/>
  <c r="L179" i="10"/>
  <c r="K15" i="5"/>
  <c r="E11" i="6"/>
  <c r="AB11" i="6"/>
  <c r="AH193" i="10"/>
  <c r="AH7" i="2" s="1"/>
  <c r="AH8" i="2" s="1"/>
  <c r="AH194" i="10"/>
  <c r="AH9" i="2" s="1"/>
  <c r="AH10" i="2" s="1"/>
  <c r="AH195" i="10"/>
  <c r="AH11" i="2" s="1"/>
  <c r="AH12" i="2" s="1"/>
  <c r="AH196" i="10"/>
  <c r="AH13" i="2" s="1"/>
  <c r="AH14" i="2" s="1"/>
  <c r="AH192" i="10"/>
  <c r="AH5" i="2" s="1"/>
  <c r="V11" i="6"/>
  <c r="N11" i="6"/>
  <c r="S193" i="10"/>
  <c r="S7" i="2" s="1"/>
  <c r="S8" i="2" s="1"/>
  <c r="S196" i="10"/>
  <c r="S13" i="2" s="1"/>
  <c r="S14" i="2" s="1"/>
  <c r="S192" i="10"/>
  <c r="S5" i="2" s="1"/>
  <c r="S194" i="10"/>
  <c r="S9" i="2" s="1"/>
  <c r="S10" i="2" s="1"/>
  <c r="S195" i="10"/>
  <c r="S11" i="2" s="1"/>
  <c r="S12" i="2" s="1"/>
  <c r="Q179" i="10"/>
  <c r="Q177" i="10"/>
  <c r="R179" i="10"/>
  <c r="R177" i="10"/>
  <c r="AK195" i="10"/>
  <c r="AK11" i="2" s="1"/>
  <c r="AK12" i="2" s="1"/>
  <c r="AK196" i="10"/>
  <c r="AK13" i="2" s="1"/>
  <c r="AK14" i="2" s="1"/>
  <c r="AK192" i="10"/>
  <c r="AK5" i="2" s="1"/>
  <c r="AK193" i="10"/>
  <c r="AK7" i="2" s="1"/>
  <c r="AK8" i="2" s="1"/>
  <c r="AK194" i="10"/>
  <c r="AK9" i="2" s="1"/>
  <c r="AK10" i="2" s="1"/>
  <c r="O178" i="10"/>
  <c r="O175" i="10"/>
  <c r="I220" i="10"/>
  <c r="I221" i="10" s="1"/>
  <c r="Y177" i="10"/>
  <c r="Y179" i="10"/>
  <c r="L15" i="5"/>
  <c r="V194" i="10"/>
  <c r="V9" i="2" s="1"/>
  <c r="V10" i="2" s="1"/>
  <c r="V193" i="10"/>
  <c r="V7" i="2" s="1"/>
  <c r="V8" i="2" s="1"/>
  <c r="V192" i="10"/>
  <c r="V5" i="2" s="1"/>
  <c r="V195" i="10"/>
  <c r="V11" i="2" s="1"/>
  <c r="V12" i="2" s="1"/>
  <c r="V196" i="10"/>
  <c r="V13" i="2" s="1"/>
  <c r="V14" i="2" s="1"/>
  <c r="AC179" i="10"/>
  <c r="AC177" i="10"/>
  <c r="T179" i="10"/>
  <c r="T177" i="10"/>
  <c r="U195" i="10"/>
  <c r="U11" i="2" s="1"/>
  <c r="U12" i="2" s="1"/>
  <c r="U192" i="10"/>
  <c r="U5" i="2" s="1"/>
  <c r="U193" i="10"/>
  <c r="U7" i="2" s="1"/>
  <c r="U8" i="2" s="1"/>
  <c r="U194" i="10"/>
  <c r="U9" i="2" s="1"/>
  <c r="U10" i="2" s="1"/>
  <c r="U196" i="10"/>
  <c r="U13" i="2" s="1"/>
  <c r="U14" i="2" s="1"/>
  <c r="AL19" i="10"/>
  <c r="AL20" i="2" s="1"/>
  <c r="O15" i="5"/>
  <c r="AL197" i="10"/>
  <c r="AL200" i="10" s="1"/>
  <c r="AL202" i="10" s="1"/>
  <c r="AL203" i="10" s="1"/>
  <c r="AL229" i="10"/>
  <c r="AL230" i="10" s="1"/>
  <c r="AL231" i="10" s="1"/>
  <c r="AL18" i="5" s="1"/>
  <c r="J15" i="5"/>
  <c r="I15" i="2"/>
  <c r="I6" i="2"/>
  <c r="AB179" i="10"/>
  <c r="AB177" i="10"/>
  <c r="AD15" i="5"/>
  <c r="F15" i="5"/>
  <c r="AI177" i="10"/>
  <c r="AI179" i="10"/>
  <c r="D192" i="10"/>
  <c r="D5" i="2" s="1"/>
  <c r="D193" i="10"/>
  <c r="D7" i="2" s="1"/>
  <c r="D8" i="2" s="1"/>
  <c r="D194" i="10"/>
  <c r="D9" i="2" s="1"/>
  <c r="D10" i="2" s="1"/>
  <c r="D195" i="10"/>
  <c r="D11" i="2" s="1"/>
  <c r="D12" i="2" s="1"/>
  <c r="D196" i="10"/>
  <c r="D13" i="2" s="1"/>
  <c r="D14" i="2" s="1"/>
  <c r="AG179" i="10"/>
  <c r="AG177" i="10"/>
  <c r="W192" i="10"/>
  <c r="W5" i="2" s="1"/>
  <c r="W193" i="10"/>
  <c r="W7" i="2" s="1"/>
  <c r="W8" i="2" s="1"/>
  <c r="W194" i="10"/>
  <c r="W9" i="2" s="1"/>
  <c r="W10" i="2" s="1"/>
  <c r="W195" i="10"/>
  <c r="W11" i="2" s="1"/>
  <c r="W12" i="2" s="1"/>
  <c r="W196" i="10"/>
  <c r="W13" i="2" s="1"/>
  <c r="W14" i="2" s="1"/>
  <c r="C193" i="10"/>
  <c r="C7" i="2" s="1"/>
  <c r="C8" i="2" s="1"/>
  <c r="C196" i="10"/>
  <c r="C13" i="2" s="1"/>
  <c r="C14" i="2" s="1"/>
  <c r="C192" i="10"/>
  <c r="C5" i="2" s="1"/>
  <c r="C194" i="10"/>
  <c r="C9" i="2" s="1"/>
  <c r="C10" i="2" s="1"/>
  <c r="C195" i="10"/>
  <c r="C11" i="2" s="1"/>
  <c r="C12" i="2" s="1"/>
  <c r="H179" i="10"/>
  <c r="H177" i="10"/>
  <c r="F194" i="10"/>
  <c r="F9" i="2" s="1"/>
  <c r="F10" i="2" s="1"/>
  <c r="F193" i="10"/>
  <c r="F7" i="2" s="1"/>
  <c r="F8" i="2" s="1"/>
  <c r="F192" i="10"/>
  <c r="F5" i="2" s="1"/>
  <c r="F195" i="10"/>
  <c r="F11" i="2" s="1"/>
  <c r="F12" i="2" s="1"/>
  <c r="F196" i="10"/>
  <c r="F13" i="2" s="1"/>
  <c r="F14" i="2" s="1"/>
  <c r="Y15" i="5"/>
  <c r="AI11" i="6"/>
  <c r="AF192" i="10"/>
  <c r="AF5" i="2" s="1"/>
  <c r="AF193" i="10"/>
  <c r="AF7" i="2" s="1"/>
  <c r="AF8" i="2" s="1"/>
  <c r="AF194" i="10"/>
  <c r="AF9" i="2" s="1"/>
  <c r="AF10" i="2" s="1"/>
  <c r="AF195" i="10"/>
  <c r="AF11" i="2" s="1"/>
  <c r="AF12" i="2" s="1"/>
  <c r="AF196" i="10"/>
  <c r="AF13" i="2" s="1"/>
  <c r="AF14" i="2" s="1"/>
  <c r="AD177" i="10"/>
  <c r="AD179" i="10"/>
  <c r="X179" i="10"/>
  <c r="X177" i="10"/>
  <c r="AE195" i="10"/>
  <c r="AE11" i="2" s="1"/>
  <c r="AE12" i="2" s="1"/>
  <c r="AE192" i="10"/>
  <c r="AE5" i="2" s="1"/>
  <c r="AE194" i="10"/>
  <c r="AE9" i="2" s="1"/>
  <c r="AE10" i="2" s="1"/>
  <c r="AE193" i="10"/>
  <c r="AE7" i="2" s="1"/>
  <c r="AE8" i="2" s="1"/>
  <c r="AE196" i="10"/>
  <c r="AE13" i="2" s="1"/>
  <c r="AE14" i="2" s="1"/>
  <c r="U220" i="10"/>
  <c r="U221" i="10" s="1"/>
  <c r="Z175" i="10"/>
  <c r="I15" i="5"/>
  <c r="X15" i="5"/>
  <c r="P11" i="6"/>
  <c r="AF15" i="5"/>
  <c r="J175" i="10"/>
  <c r="H11" i="6"/>
  <c r="Y192" i="10" l="1"/>
  <c r="Y5" i="2" s="1"/>
  <c r="Y194" i="10"/>
  <c r="Y9" i="2" s="1"/>
  <c r="Y10" i="2" s="1"/>
  <c r="Y193" i="10"/>
  <c r="Y7" i="2" s="1"/>
  <c r="Y8" i="2" s="1"/>
  <c r="Y195" i="10"/>
  <c r="Y11" i="2" s="1"/>
  <c r="Y12" i="2" s="1"/>
  <c r="Y196" i="10"/>
  <c r="Y13" i="2" s="1"/>
  <c r="Y14" i="2" s="1"/>
  <c r="F11" i="6"/>
  <c r="AA179" i="10"/>
  <c r="AA177" i="10"/>
  <c r="AD11" i="6"/>
  <c r="O179" i="10"/>
  <c r="O177" i="10"/>
  <c r="U6" i="2"/>
  <c r="U15" i="2"/>
  <c r="S15" i="2"/>
  <c r="S6" i="2"/>
  <c r="P195" i="10"/>
  <c r="P11" i="2" s="1"/>
  <c r="P12" i="2" s="1"/>
  <c r="P196" i="10"/>
  <c r="P13" i="2" s="1"/>
  <c r="P14" i="2" s="1"/>
  <c r="P192" i="10"/>
  <c r="P5" i="2" s="1"/>
  <c r="P193" i="10"/>
  <c r="P7" i="2" s="1"/>
  <c r="P8" i="2" s="1"/>
  <c r="P194" i="10"/>
  <c r="P9" i="2" s="1"/>
  <c r="P10" i="2" s="1"/>
  <c r="AI193" i="10"/>
  <c r="AI7" i="2" s="1"/>
  <c r="AI8" i="2" s="1"/>
  <c r="AI196" i="10"/>
  <c r="AI13" i="2" s="1"/>
  <c r="AI14" i="2" s="1"/>
  <c r="AI194" i="10"/>
  <c r="AI9" i="2" s="1"/>
  <c r="AI10" i="2" s="1"/>
  <c r="AI195" i="10"/>
  <c r="AI11" i="2" s="1"/>
  <c r="AI12" i="2" s="1"/>
  <c r="AI192" i="10"/>
  <c r="AI5" i="2" s="1"/>
  <c r="G15" i="2"/>
  <c r="G6" i="2"/>
  <c r="AB194" i="10"/>
  <c r="AB9" i="2" s="1"/>
  <c r="AB10" i="2" s="1"/>
  <c r="AB192" i="10"/>
  <c r="AB5" i="2" s="1"/>
  <c r="AB193" i="10"/>
  <c r="AB7" i="2" s="1"/>
  <c r="AB8" i="2" s="1"/>
  <c r="AB195" i="10"/>
  <c r="AB11" i="2" s="1"/>
  <c r="AB12" i="2" s="1"/>
  <c r="AB196" i="10"/>
  <c r="AB13" i="2" s="1"/>
  <c r="AB14" i="2" s="1"/>
  <c r="T192" i="10"/>
  <c r="T5" i="2" s="1"/>
  <c r="T196" i="10"/>
  <c r="T13" i="2" s="1"/>
  <c r="T14" i="2" s="1"/>
  <c r="T193" i="10"/>
  <c r="T7" i="2" s="1"/>
  <c r="T8" i="2" s="1"/>
  <c r="T194" i="10"/>
  <c r="T9" i="2" s="1"/>
  <c r="T10" i="2" s="1"/>
  <c r="T195" i="10"/>
  <c r="T11" i="2" s="1"/>
  <c r="T12" i="2" s="1"/>
  <c r="AA11" i="6"/>
  <c r="C15" i="2"/>
  <c r="C6" i="2"/>
  <c r="C16" i="2" s="1"/>
  <c r="AE15" i="2"/>
  <c r="AE6" i="2"/>
  <c r="T220" i="10"/>
  <c r="T221" i="10" s="1"/>
  <c r="M177" i="10"/>
  <c r="M179" i="10"/>
  <c r="AK15" i="2"/>
  <c r="AK6" i="2"/>
  <c r="J177" i="10"/>
  <c r="J179" i="10"/>
  <c r="X196" i="10"/>
  <c r="X13" i="2" s="1"/>
  <c r="X14" i="2" s="1"/>
  <c r="X193" i="10"/>
  <c r="X7" i="2" s="1"/>
  <c r="X8" i="2" s="1"/>
  <c r="X195" i="10"/>
  <c r="X11" i="2" s="1"/>
  <c r="X12" i="2" s="1"/>
  <c r="X192" i="10"/>
  <c r="X5" i="2" s="1"/>
  <c r="X194" i="10"/>
  <c r="X9" i="2" s="1"/>
  <c r="X10" i="2" s="1"/>
  <c r="F6" i="2"/>
  <c r="F15" i="2"/>
  <c r="AG194" i="10"/>
  <c r="AG9" i="2" s="1"/>
  <c r="AG10" i="2" s="1"/>
  <c r="AG196" i="10"/>
  <c r="AG13" i="2" s="1"/>
  <c r="AG14" i="2" s="1"/>
  <c r="AG193" i="10"/>
  <c r="AG7" i="2" s="1"/>
  <c r="AG8" i="2" s="1"/>
  <c r="AG195" i="10"/>
  <c r="AG11" i="2" s="1"/>
  <c r="AG12" i="2" s="1"/>
  <c r="AG192" i="10"/>
  <c r="AG5" i="2" s="1"/>
  <c r="AC220" i="10"/>
  <c r="AC221" i="10" s="1"/>
  <c r="L220" i="10"/>
  <c r="L221" i="10" s="1"/>
  <c r="AJ15" i="2"/>
  <c r="AJ6" i="2"/>
  <c r="L194" i="10"/>
  <c r="L9" i="2" s="1"/>
  <c r="L10" i="2" s="1"/>
  <c r="L193" i="10"/>
  <c r="L7" i="2" s="1"/>
  <c r="L8" i="2" s="1"/>
  <c r="L195" i="10"/>
  <c r="L11" i="2" s="1"/>
  <c r="L12" i="2" s="1"/>
  <c r="L196" i="10"/>
  <c r="L13" i="2" s="1"/>
  <c r="L14" i="2" s="1"/>
  <c r="L192" i="10"/>
  <c r="L5" i="2" s="1"/>
  <c r="AF15" i="2"/>
  <c r="AF6" i="2"/>
  <c r="R196" i="10"/>
  <c r="R13" i="2" s="1"/>
  <c r="R14" i="2" s="1"/>
  <c r="R192" i="10"/>
  <c r="R5" i="2" s="1"/>
  <c r="R193" i="10"/>
  <c r="R7" i="2" s="1"/>
  <c r="R8" i="2" s="1"/>
  <c r="R194" i="10"/>
  <c r="R9" i="2" s="1"/>
  <c r="R10" i="2" s="1"/>
  <c r="R195" i="10"/>
  <c r="R11" i="2" s="1"/>
  <c r="R12" i="2" s="1"/>
  <c r="B19" i="10"/>
  <c r="G11" i="6"/>
  <c r="AF11" i="6"/>
  <c r="H196" i="10"/>
  <c r="H13" i="2" s="1"/>
  <c r="H14" i="2" s="1"/>
  <c r="H193" i="10"/>
  <c r="H7" i="2" s="1"/>
  <c r="H8" i="2" s="1"/>
  <c r="H195" i="10"/>
  <c r="H11" i="2" s="1"/>
  <c r="H12" i="2" s="1"/>
  <c r="H192" i="10"/>
  <c r="H5" i="2" s="1"/>
  <c r="H194" i="10"/>
  <c r="H9" i="2" s="1"/>
  <c r="H10" i="2" s="1"/>
  <c r="V6" i="2"/>
  <c r="V15" i="2"/>
  <c r="R220" i="10"/>
  <c r="R221" i="10" s="1"/>
  <c r="AH15" i="2"/>
  <c r="AH6" i="2"/>
  <c r="Y11" i="6"/>
  <c r="AD196" i="10"/>
  <c r="AD13" i="2" s="1"/>
  <c r="AD14" i="2" s="1"/>
  <c r="AD192" i="10"/>
  <c r="AD5" i="2" s="1"/>
  <c r="AD194" i="10"/>
  <c r="AD9" i="2" s="1"/>
  <c r="AD10" i="2" s="1"/>
  <c r="AD193" i="10"/>
  <c r="AD7" i="2" s="1"/>
  <c r="AD8" i="2" s="1"/>
  <c r="AD195" i="10"/>
  <c r="AD11" i="2" s="1"/>
  <c r="AD12" i="2" s="1"/>
  <c r="H220" i="10"/>
  <c r="H221" i="10" s="1"/>
  <c r="O11" i="6"/>
  <c r="N220" i="10"/>
  <c r="N221" i="10" s="1"/>
  <c r="X11" i="6"/>
  <c r="Q194" i="10"/>
  <c r="Q9" i="2" s="1"/>
  <c r="Q10" i="2" s="1"/>
  <c r="Q196" i="10"/>
  <c r="Q13" i="2" s="1"/>
  <c r="Q14" i="2" s="1"/>
  <c r="Q195" i="10"/>
  <c r="Q11" i="2" s="1"/>
  <c r="Q12" i="2" s="1"/>
  <c r="Q192" i="10"/>
  <c r="Q5" i="2" s="1"/>
  <c r="Q193" i="10"/>
  <c r="Q7" i="2" s="1"/>
  <c r="Q8" i="2" s="1"/>
  <c r="N196" i="10"/>
  <c r="N13" i="2" s="1"/>
  <c r="N14" i="2" s="1"/>
  <c r="N194" i="10"/>
  <c r="N9" i="2" s="1"/>
  <c r="N10" i="2" s="1"/>
  <c r="N193" i="10"/>
  <c r="N7" i="2" s="1"/>
  <c r="N8" i="2" s="1"/>
  <c r="N195" i="10"/>
  <c r="N11" i="2" s="1"/>
  <c r="N12" i="2" s="1"/>
  <c r="N192" i="10"/>
  <c r="N5" i="2" s="1"/>
  <c r="K194" i="10"/>
  <c r="K9" i="2" s="1"/>
  <c r="K10" i="2" s="1"/>
  <c r="K193" i="10"/>
  <c r="K7" i="2" s="1"/>
  <c r="K8" i="2" s="1"/>
  <c r="K195" i="10"/>
  <c r="K11" i="2" s="1"/>
  <c r="K12" i="2" s="1"/>
  <c r="K196" i="10"/>
  <c r="K13" i="2" s="1"/>
  <c r="K14" i="2" s="1"/>
  <c r="K192" i="10"/>
  <c r="K5" i="2" s="1"/>
  <c r="W15" i="2"/>
  <c r="W6" i="2"/>
  <c r="K11" i="6"/>
  <c r="AG220" i="10"/>
  <c r="AG221" i="10" s="1"/>
  <c r="AD220" i="10"/>
  <c r="AD221" i="10" s="1"/>
  <c r="I11" i="6"/>
  <c r="D15" i="2"/>
  <c r="D6" i="2"/>
  <c r="D16" i="2" s="1"/>
  <c r="L11" i="6"/>
  <c r="Q220" i="10"/>
  <c r="Q221" i="10" s="1"/>
  <c r="AE11" i="6"/>
  <c r="K220" i="10"/>
  <c r="K221" i="10" s="1"/>
  <c r="I16" i="2"/>
  <c r="I37" i="2"/>
  <c r="I197" i="10" s="1"/>
  <c r="AC193" i="10"/>
  <c r="AC7" i="2" s="1"/>
  <c r="AC8" i="2" s="1"/>
  <c r="AC192" i="10"/>
  <c r="AC5" i="2" s="1"/>
  <c r="AC194" i="10"/>
  <c r="AC9" i="2" s="1"/>
  <c r="AC10" i="2" s="1"/>
  <c r="AC195" i="10"/>
  <c r="AC11" i="2" s="1"/>
  <c r="AC12" i="2" s="1"/>
  <c r="AC196" i="10"/>
  <c r="AC13" i="2" s="1"/>
  <c r="AC14" i="2" s="1"/>
  <c r="X220" i="10"/>
  <c r="X221" i="10" s="1"/>
  <c r="J11" i="6"/>
  <c r="Z179" i="10"/>
  <c r="Z177" i="10"/>
  <c r="AI220" i="10"/>
  <c r="AI221" i="10" s="1"/>
  <c r="U11" i="6"/>
  <c r="W11" i="6"/>
  <c r="E6" i="2"/>
  <c r="E15" i="2"/>
  <c r="O220" i="10" l="1"/>
  <c r="O221" i="10" s="1"/>
  <c r="AK37" i="2"/>
  <c r="AK16" i="2"/>
  <c r="W37" i="2"/>
  <c r="W16" i="2"/>
  <c r="H15" i="2"/>
  <c r="H6" i="2"/>
  <c r="AG15" i="2"/>
  <c r="AG6" i="2"/>
  <c r="K15" i="2"/>
  <c r="K6" i="2"/>
  <c r="O195" i="10"/>
  <c r="O11" i="2" s="1"/>
  <c r="O12" i="2" s="1"/>
  <c r="O192" i="10"/>
  <c r="O5" i="2" s="1"/>
  <c r="O194" i="10"/>
  <c r="O9" i="2" s="1"/>
  <c r="O10" i="2" s="1"/>
  <c r="O196" i="10"/>
  <c r="O13" i="2" s="1"/>
  <c r="O14" i="2" s="1"/>
  <c r="O193" i="10"/>
  <c r="O7" i="2" s="1"/>
  <c r="O8" i="2" s="1"/>
  <c r="AF37" i="2"/>
  <c r="AF16" i="2"/>
  <c r="M193" i="10"/>
  <c r="M7" i="2" s="1"/>
  <c r="M8" i="2" s="1"/>
  <c r="M192" i="10"/>
  <c r="M5" i="2" s="1"/>
  <c r="M194" i="10"/>
  <c r="M9" i="2" s="1"/>
  <c r="M10" i="2" s="1"/>
  <c r="M195" i="10"/>
  <c r="M11" i="2" s="1"/>
  <c r="M12" i="2" s="1"/>
  <c r="M196" i="10"/>
  <c r="M13" i="2" s="1"/>
  <c r="M14" i="2" s="1"/>
  <c r="AA192" i="10"/>
  <c r="AA5" i="2" s="1"/>
  <c r="AA194" i="10"/>
  <c r="AA9" i="2" s="1"/>
  <c r="AA10" i="2" s="1"/>
  <c r="AA193" i="10"/>
  <c r="AA7" i="2" s="1"/>
  <c r="AA8" i="2" s="1"/>
  <c r="AA195" i="10"/>
  <c r="AA11" i="2" s="1"/>
  <c r="AA12" i="2" s="1"/>
  <c r="AA196" i="10"/>
  <c r="AA13" i="2" s="1"/>
  <c r="AA14" i="2" s="1"/>
  <c r="Z192" i="10"/>
  <c r="Z5" i="2" s="1"/>
  <c r="Z195" i="10"/>
  <c r="Z11" i="2" s="1"/>
  <c r="Z12" i="2" s="1"/>
  <c r="Z194" i="10"/>
  <c r="Z9" i="2" s="1"/>
  <c r="Z10" i="2" s="1"/>
  <c r="Z193" i="10"/>
  <c r="Z7" i="2" s="1"/>
  <c r="Z8" i="2" s="1"/>
  <c r="Z196" i="10"/>
  <c r="Z13" i="2" s="1"/>
  <c r="Z14" i="2" s="1"/>
  <c r="L6" i="2"/>
  <c r="L15" i="2"/>
  <c r="P15" i="2"/>
  <c r="P6" i="2"/>
  <c r="AA220" i="10"/>
  <c r="AA221" i="10" s="1"/>
  <c r="R15" i="2"/>
  <c r="R6" i="2"/>
  <c r="J192" i="10"/>
  <c r="J5" i="2" s="1"/>
  <c r="J195" i="10"/>
  <c r="J11" i="2" s="1"/>
  <c r="J12" i="2" s="1"/>
  <c r="J194" i="10"/>
  <c r="J9" i="2" s="1"/>
  <c r="J10" i="2" s="1"/>
  <c r="J193" i="10"/>
  <c r="J7" i="2" s="1"/>
  <c r="J8" i="2" s="1"/>
  <c r="J196" i="10"/>
  <c r="J13" i="2" s="1"/>
  <c r="J14" i="2" s="1"/>
  <c r="Z220" i="10"/>
  <c r="Z221" i="10" s="1"/>
  <c r="AH16" i="2"/>
  <c r="AH37" i="2"/>
  <c r="T15" i="2"/>
  <c r="T6" i="2"/>
  <c r="AI15" i="2"/>
  <c r="AI6" i="2"/>
  <c r="D19" i="10"/>
  <c r="Q15" i="2"/>
  <c r="Q6" i="2"/>
  <c r="N15" i="2"/>
  <c r="N6" i="2"/>
  <c r="F37" i="2"/>
  <c r="F197" i="10" s="1"/>
  <c r="F16" i="2"/>
  <c r="S16" i="2"/>
  <c r="S37" i="2"/>
  <c r="AD15" i="2"/>
  <c r="AD6" i="2"/>
  <c r="AE16" i="2"/>
  <c r="AE37" i="2"/>
  <c r="B20" i="10"/>
  <c r="B19" i="2" s="1"/>
  <c r="B34" i="2" s="1"/>
  <c r="B20" i="2"/>
  <c r="X15" i="2"/>
  <c r="X6" i="2"/>
  <c r="AB15" i="2"/>
  <c r="AB6" i="2"/>
  <c r="E37" i="2"/>
  <c r="E197" i="10" s="1"/>
  <c r="E16" i="2"/>
  <c r="V37" i="2"/>
  <c r="V16" i="2"/>
  <c r="AJ16" i="2"/>
  <c r="AJ37" i="2"/>
  <c r="C19" i="10"/>
  <c r="U37" i="2"/>
  <c r="U16" i="2"/>
  <c r="I198" i="10"/>
  <c r="I199" i="10" s="1"/>
  <c r="I200" i="10" s="1"/>
  <c r="I202" i="10" s="1"/>
  <c r="G37" i="2"/>
  <c r="G197" i="10" s="1"/>
  <c r="G16" i="2"/>
  <c r="AC15" i="2"/>
  <c r="AC6" i="2"/>
  <c r="I19" i="10"/>
  <c r="Y15" i="2"/>
  <c r="Y6" i="2"/>
  <c r="O204" i="10" l="1"/>
  <c r="I203" i="10"/>
  <c r="I205" i="10" s="1"/>
  <c r="K16" i="2"/>
  <c r="K37" i="2"/>
  <c r="K197" i="10" s="1"/>
  <c r="AG37" i="2"/>
  <c r="AG16" i="2"/>
  <c r="L16" i="2"/>
  <c r="L37" i="2"/>
  <c r="L197" i="10" s="1"/>
  <c r="I20" i="10"/>
  <c r="I19" i="2" s="1"/>
  <c r="I20" i="2"/>
  <c r="B30" i="2"/>
  <c r="B27" i="2"/>
  <c r="Q37" i="2"/>
  <c r="Q16" i="2"/>
  <c r="B20" i="5"/>
  <c r="B22" i="5" s="1"/>
  <c r="B23" i="7"/>
  <c r="B35" i="2"/>
  <c r="AF19" i="10"/>
  <c r="AF229" i="10"/>
  <c r="AF230" i="10" s="1"/>
  <c r="AF231" i="10" s="1"/>
  <c r="AF18" i="5" s="1"/>
  <c r="AF197" i="10"/>
  <c r="H37" i="2"/>
  <c r="H197" i="10" s="1"/>
  <c r="H16" i="2"/>
  <c r="AE229" i="10"/>
  <c r="AE230" i="10" s="1"/>
  <c r="AE231" i="10" s="1"/>
  <c r="AE18" i="5" s="1"/>
  <c r="AE197" i="10"/>
  <c r="AH19" i="10"/>
  <c r="AJ19" i="10"/>
  <c r="AC16" i="2"/>
  <c r="AC37" i="2"/>
  <c r="U229" i="10"/>
  <c r="U230" i="10" s="1"/>
  <c r="U231" i="10" s="1"/>
  <c r="U18" i="5" s="1"/>
  <c r="U197" i="10"/>
  <c r="AH229" i="10"/>
  <c r="AH230" i="10" s="1"/>
  <c r="AH231" i="10" s="1"/>
  <c r="AH18" i="5" s="1"/>
  <c r="AH197" i="10"/>
  <c r="AJ229" i="10"/>
  <c r="AJ230" i="10" s="1"/>
  <c r="AJ231" i="10" s="1"/>
  <c r="AJ18" i="5" s="1"/>
  <c r="AJ197" i="10"/>
  <c r="D20" i="2"/>
  <c r="D20" i="10"/>
  <c r="D19" i="2" s="1"/>
  <c r="J15" i="2"/>
  <c r="J6" i="2"/>
  <c r="Z15" i="2"/>
  <c r="Z6" i="2"/>
  <c r="V229" i="10"/>
  <c r="V230" i="10" s="1"/>
  <c r="V231" i="10" s="1"/>
  <c r="V18" i="5" s="1"/>
  <c r="V197" i="10"/>
  <c r="W19" i="10"/>
  <c r="X37" i="2"/>
  <c r="X16" i="2"/>
  <c r="W229" i="10"/>
  <c r="W230" i="10" s="1"/>
  <c r="W231" i="10" s="1"/>
  <c r="W18" i="5" s="1"/>
  <c r="W197" i="10"/>
  <c r="E19" i="10"/>
  <c r="S229" i="10"/>
  <c r="S230" i="10" s="1"/>
  <c r="S231" i="10" s="1"/>
  <c r="S18" i="5" s="1"/>
  <c r="S197" i="10"/>
  <c r="R16" i="2"/>
  <c r="R37" i="2"/>
  <c r="AI16" i="2"/>
  <c r="AI37" i="2"/>
  <c r="O15" i="2"/>
  <c r="O6" i="2"/>
  <c r="AK19" i="10"/>
  <c r="M15" i="2"/>
  <c r="M6" i="2"/>
  <c r="V19" i="10"/>
  <c r="G198" i="10"/>
  <c r="G199" i="10" s="1"/>
  <c r="G200" i="10" s="1"/>
  <c r="G202" i="10" s="1"/>
  <c r="S19" i="10"/>
  <c r="F19" i="10"/>
  <c r="AK229" i="10"/>
  <c r="AK230" i="10" s="1"/>
  <c r="AK231" i="10" s="1"/>
  <c r="AK18" i="5" s="1"/>
  <c r="AK197" i="10"/>
  <c r="G19" i="10"/>
  <c r="AD16" i="2"/>
  <c r="AD37" i="2"/>
  <c r="F198" i="10"/>
  <c r="F199" i="10" s="1"/>
  <c r="F200" i="10" s="1"/>
  <c r="F202" i="10" s="1"/>
  <c r="T16" i="2"/>
  <c r="T37" i="2"/>
  <c r="AA15" i="2"/>
  <c r="AA6" i="2"/>
  <c r="C20" i="10"/>
  <c r="C19" i="2" s="1"/>
  <c r="C20" i="2"/>
  <c r="AE19" i="10"/>
  <c r="E200" i="10"/>
  <c r="E202" i="10" s="1"/>
  <c r="E198" i="10"/>
  <c r="E199" i="10" s="1"/>
  <c r="AB16" i="2"/>
  <c r="AB37" i="2"/>
  <c r="Y16" i="2"/>
  <c r="Y37" i="2"/>
  <c r="U19" i="10"/>
  <c r="N16" i="2"/>
  <c r="N37" i="2"/>
  <c r="N197" i="10" s="1"/>
  <c r="P37" i="2"/>
  <c r="P197" i="10" s="1"/>
  <c r="P16" i="2"/>
  <c r="G203" i="10" l="1"/>
  <c r="G205" i="10" s="1"/>
  <c r="M204" i="10"/>
  <c r="F203" i="10"/>
  <c r="F205" i="10" s="1"/>
  <c r="L204" i="10"/>
  <c r="AE198" i="10"/>
  <c r="AE199" i="10" s="1"/>
  <c r="AE200" i="10" s="1"/>
  <c r="AE202" i="10" s="1"/>
  <c r="H198" i="10"/>
  <c r="H199" i="10" s="1"/>
  <c r="H200" i="10" s="1"/>
  <c r="H202" i="10" s="1"/>
  <c r="L19" i="10"/>
  <c r="P19" i="10"/>
  <c r="AH200" i="10"/>
  <c r="AH202" i="10" s="1"/>
  <c r="AH198" i="10"/>
  <c r="AH199" i="10" s="1"/>
  <c r="N198" i="10"/>
  <c r="N199" i="10" s="1"/>
  <c r="N200" i="10" s="1"/>
  <c r="N202" i="10" s="1"/>
  <c r="N19" i="10"/>
  <c r="F20" i="2"/>
  <c r="F20" i="10"/>
  <c r="F19" i="2" s="1"/>
  <c r="AF20" i="2"/>
  <c r="AF20" i="10"/>
  <c r="AF19" i="2" s="1"/>
  <c r="G20" i="2"/>
  <c r="G20" i="10"/>
  <c r="G19" i="2" s="1"/>
  <c r="AK198" i="10"/>
  <c r="AK199" i="10" s="1"/>
  <c r="AK200" i="10" s="1"/>
  <c r="AK202" i="10" s="1"/>
  <c r="AK203" i="10" s="1"/>
  <c r="U200" i="10"/>
  <c r="U202" i="10" s="1"/>
  <c r="U198" i="10"/>
  <c r="U199" i="10" s="1"/>
  <c r="O16" i="2"/>
  <c r="O37" i="2"/>
  <c r="O197" i="10" s="1"/>
  <c r="V200" i="10"/>
  <c r="V202" i="10" s="1"/>
  <c r="V198" i="10"/>
  <c r="V199" i="10" s="1"/>
  <c r="AJ20" i="2"/>
  <c r="AJ20" i="10"/>
  <c r="AJ19" i="2" s="1"/>
  <c r="C22" i="2"/>
  <c r="C23" i="2" s="1"/>
  <c r="C30" i="2" s="1"/>
  <c r="B36" i="2"/>
  <c r="AG19" i="10"/>
  <c r="K204" i="10"/>
  <c r="E203" i="10"/>
  <c r="E205" i="10" s="1"/>
  <c r="P198" i="10"/>
  <c r="P199" i="10" s="1"/>
  <c r="P200" i="10" s="1"/>
  <c r="P202" i="10" s="1"/>
  <c r="AF198" i="10"/>
  <c r="AF199" i="10" s="1"/>
  <c r="AF200" i="10" s="1"/>
  <c r="AF202" i="10" s="1"/>
  <c r="AC229" i="10"/>
  <c r="AC230" i="10" s="1"/>
  <c r="AC231" i="10" s="1"/>
  <c r="AC18" i="5" s="1"/>
  <c r="AC197" i="10"/>
  <c r="AA16" i="2"/>
  <c r="AA37" i="2"/>
  <c r="S20" i="10"/>
  <c r="S19" i="2" s="1"/>
  <c r="S20" i="2"/>
  <c r="J16" i="2"/>
  <c r="J37" i="2"/>
  <c r="J197" i="10" s="1"/>
  <c r="AG229" i="10"/>
  <c r="AG230" i="10" s="1"/>
  <c r="AG231" i="10" s="1"/>
  <c r="AG18" i="5" s="1"/>
  <c r="AG197" i="10"/>
  <c r="X229" i="10"/>
  <c r="X230" i="10" s="1"/>
  <c r="X231" i="10" s="1"/>
  <c r="X18" i="5" s="1"/>
  <c r="X197" i="10"/>
  <c r="AE20" i="10"/>
  <c r="AE19" i="2" s="1"/>
  <c r="AE20" i="2"/>
  <c r="AI229" i="10"/>
  <c r="AI230" i="10" s="1"/>
  <c r="AI231" i="10" s="1"/>
  <c r="AI18" i="5" s="1"/>
  <c r="AI197" i="10"/>
  <c r="U20" i="2"/>
  <c r="U20" i="10"/>
  <c r="U19" i="2" s="1"/>
  <c r="AC19" i="10"/>
  <c r="Y229" i="10"/>
  <c r="Y230" i="10" s="1"/>
  <c r="Y231" i="10" s="1"/>
  <c r="Y18" i="5" s="1"/>
  <c r="Y197" i="10"/>
  <c r="R229" i="10"/>
  <c r="R230" i="10" s="1"/>
  <c r="R231" i="10" s="1"/>
  <c r="R18" i="5" s="1"/>
  <c r="R197" i="10"/>
  <c r="Z16" i="2"/>
  <c r="Z37" i="2"/>
  <c r="T19" i="10"/>
  <c r="AB229" i="10"/>
  <c r="AB230" i="10" s="1"/>
  <c r="AB231" i="10" s="1"/>
  <c r="AB18" i="5" s="1"/>
  <c r="AB197" i="10"/>
  <c r="B13" i="6"/>
  <c r="B15" i="6" s="1"/>
  <c r="B26" i="5"/>
  <c r="K198" i="10"/>
  <c r="K199" i="10" s="1"/>
  <c r="K200" i="10" s="1"/>
  <c r="K202" i="10" s="1"/>
  <c r="H19" i="10"/>
  <c r="C27" i="2"/>
  <c r="R19" i="10"/>
  <c r="AB19" i="10"/>
  <c r="AD229" i="10"/>
  <c r="AD230" i="10" s="1"/>
  <c r="AD231" i="10" s="1"/>
  <c r="AD18" i="5" s="1"/>
  <c r="AD197" i="10"/>
  <c r="AH20" i="10"/>
  <c r="AH19" i="2" s="1"/>
  <c r="AH20" i="2"/>
  <c r="Q19" i="10"/>
  <c r="K19" i="10"/>
  <c r="AK20" i="10"/>
  <c r="AK19" i="2" s="1"/>
  <c r="AK20" i="2"/>
  <c r="L200" i="10"/>
  <c r="L202" i="10" s="1"/>
  <c r="L198" i="10"/>
  <c r="L199" i="10" s="1"/>
  <c r="Y19" i="10"/>
  <c r="AD19" i="10"/>
  <c r="E20" i="2"/>
  <c r="E20" i="10"/>
  <c r="E19" i="2" s="1"/>
  <c r="Q229" i="10"/>
  <c r="Q230" i="10" s="1"/>
  <c r="Q231" i="10" s="1"/>
  <c r="Q18" i="5" s="1"/>
  <c r="Q197" i="10"/>
  <c r="I223" i="10"/>
  <c r="I21" i="5"/>
  <c r="X19" i="10"/>
  <c r="W20" i="2"/>
  <c r="W20" i="10"/>
  <c r="W19" i="2" s="1"/>
  <c r="AI19" i="10"/>
  <c r="T229" i="10"/>
  <c r="T230" i="10" s="1"/>
  <c r="T231" i="10" s="1"/>
  <c r="T18" i="5" s="1"/>
  <c r="T197" i="10"/>
  <c r="S198" i="10"/>
  <c r="S199" i="10" s="1"/>
  <c r="S200" i="10" s="1"/>
  <c r="S202" i="10" s="1"/>
  <c r="V20" i="2"/>
  <c r="V20" i="10"/>
  <c r="V19" i="2" s="1"/>
  <c r="M16" i="2"/>
  <c r="M37" i="2"/>
  <c r="M197" i="10" s="1"/>
  <c r="W198" i="10"/>
  <c r="W199" i="10" s="1"/>
  <c r="W200" i="10" s="1"/>
  <c r="W202" i="10" s="1"/>
  <c r="AJ198" i="10"/>
  <c r="AJ199" i="10" s="1"/>
  <c r="AJ200" i="10" s="1"/>
  <c r="AJ202" i="10" s="1"/>
  <c r="AJ203" i="10" s="1"/>
  <c r="B16" i="7"/>
  <c r="B5" i="7"/>
  <c r="B28" i="2"/>
  <c r="B5" i="1"/>
  <c r="S203" i="10" l="1"/>
  <c r="Y204" i="10"/>
  <c r="AE203" i="10"/>
  <c r="AK204" i="10"/>
  <c r="N203" i="10"/>
  <c r="T204" i="10"/>
  <c r="H203" i="10"/>
  <c r="H205" i="10" s="1"/>
  <c r="N204" i="10"/>
  <c r="W203" i="10"/>
  <c r="AC204" i="10"/>
  <c r="AK205" i="10"/>
  <c r="AF203" i="10"/>
  <c r="AL204" i="10"/>
  <c r="AL205" i="10" s="1"/>
  <c r="K203" i="10"/>
  <c r="K205" i="10" s="1"/>
  <c r="Q204" i="10"/>
  <c r="P203" i="10"/>
  <c r="V204" i="10"/>
  <c r="J19" i="10"/>
  <c r="P20" i="10"/>
  <c r="P19" i="2" s="1"/>
  <c r="P20" i="2"/>
  <c r="AC20" i="10"/>
  <c r="AC19" i="2" s="1"/>
  <c r="AC20" i="2"/>
  <c r="R20" i="2"/>
  <c r="R20" i="10"/>
  <c r="R19" i="2" s="1"/>
  <c r="AB198" i="10"/>
  <c r="AB199" i="10" s="1"/>
  <c r="AB200" i="10" s="1"/>
  <c r="AB202" i="10" s="1"/>
  <c r="AA229" i="10"/>
  <c r="AA230" i="10" s="1"/>
  <c r="AA231" i="10" s="1"/>
  <c r="AA18" i="5" s="1"/>
  <c r="AA197" i="10"/>
  <c r="AI198" i="10"/>
  <c r="AI199" i="10" s="1"/>
  <c r="AI200" i="10" s="1"/>
  <c r="AI202" i="10" s="1"/>
  <c r="AI203" i="10" s="1"/>
  <c r="AA19" i="10"/>
  <c r="L20" i="10"/>
  <c r="L19" i="2" s="1"/>
  <c r="L20" i="2"/>
  <c r="AB20" i="10"/>
  <c r="AB19" i="2" s="1"/>
  <c r="AB20" i="2"/>
  <c r="Q198" i="10"/>
  <c r="Q199" i="10" s="1"/>
  <c r="Q200" i="10" s="1"/>
  <c r="Q202" i="10" s="1"/>
  <c r="AA204" i="10"/>
  <c r="U203" i="10"/>
  <c r="K20" i="10"/>
  <c r="K19" i="2" s="1"/>
  <c r="K20" i="2"/>
  <c r="C34" i="2"/>
  <c r="J198" i="10"/>
  <c r="J199" i="10" s="1"/>
  <c r="J200" i="10" s="1"/>
  <c r="J202" i="10" s="1"/>
  <c r="M19" i="10"/>
  <c r="AG20" i="10"/>
  <c r="AG19" i="2" s="1"/>
  <c r="AG20" i="2"/>
  <c r="T198" i="10"/>
  <c r="T199" i="10" s="1"/>
  <c r="T200" i="10" s="1"/>
  <c r="T202" i="10" s="1"/>
  <c r="X20" i="2"/>
  <c r="X20" i="10"/>
  <c r="X19" i="2" s="1"/>
  <c r="AN204" i="10"/>
  <c r="AN205" i="10" s="1"/>
  <c r="AH203" i="10"/>
  <c r="AC200" i="10"/>
  <c r="AC202" i="10" s="1"/>
  <c r="AC198" i="10"/>
  <c r="AC199" i="10" s="1"/>
  <c r="T20" i="2"/>
  <c r="T20" i="10"/>
  <c r="T19" i="2" s="1"/>
  <c r="AI20" i="10"/>
  <c r="AI19" i="2" s="1"/>
  <c r="AI20" i="2"/>
  <c r="Z229" i="10"/>
  <c r="Z230" i="10" s="1"/>
  <c r="Z231" i="10" s="1"/>
  <c r="Z18" i="5" s="1"/>
  <c r="Z197" i="10"/>
  <c r="X198" i="10"/>
  <c r="X199" i="10" s="1"/>
  <c r="X200" i="10" s="1"/>
  <c r="X202" i="10" s="1"/>
  <c r="M200" i="10"/>
  <c r="M202" i="10" s="1"/>
  <c r="M198" i="10"/>
  <c r="M199" i="10" s="1"/>
  <c r="C5" i="7"/>
  <c r="C16" i="7"/>
  <c r="C17" i="7" s="1"/>
  <c r="C5" i="1"/>
  <c r="Z19" i="10"/>
  <c r="N20" i="10"/>
  <c r="N19" i="2" s="1"/>
  <c r="N20" i="2"/>
  <c r="Y20" i="10"/>
  <c r="Y19" i="2" s="1"/>
  <c r="Y20" i="2"/>
  <c r="Q20" i="10"/>
  <c r="Q19" i="2" s="1"/>
  <c r="Q20" i="2"/>
  <c r="H20" i="10"/>
  <c r="H19" i="2" s="1"/>
  <c r="H20" i="2"/>
  <c r="R198" i="10"/>
  <c r="R199" i="10" s="1"/>
  <c r="R200" i="10" s="1"/>
  <c r="R202" i="10" s="1"/>
  <c r="O200" i="10"/>
  <c r="O202" i="10" s="1"/>
  <c r="O198" i="10"/>
  <c r="O199" i="10" s="1"/>
  <c r="F223" i="10"/>
  <c r="F21" i="5"/>
  <c r="R204" i="10"/>
  <c r="L203" i="10"/>
  <c r="L205" i="10" s="1"/>
  <c r="B9" i="3"/>
  <c r="B10" i="3"/>
  <c r="B8" i="3"/>
  <c r="B7" i="3"/>
  <c r="C25" i="2"/>
  <c r="B6" i="3"/>
  <c r="B6" i="1"/>
  <c r="B5" i="3"/>
  <c r="B31" i="2"/>
  <c r="V203" i="10"/>
  <c r="V205" i="10" s="1"/>
  <c r="AB204" i="10"/>
  <c r="AD20" i="10"/>
  <c r="AD19" i="2" s="1"/>
  <c r="AD20" i="2"/>
  <c r="AD200" i="10"/>
  <c r="AD202" i="10" s="1"/>
  <c r="AD198" i="10"/>
  <c r="AD199" i="10" s="1"/>
  <c r="AG198" i="10"/>
  <c r="AG199" i="10" s="1"/>
  <c r="AG200" i="10" s="1"/>
  <c r="AG202" i="10" s="1"/>
  <c r="O19" i="10"/>
  <c r="Y200" i="10"/>
  <c r="Y202" i="10" s="1"/>
  <c r="Y198" i="10"/>
  <c r="Y199" i="10" s="1"/>
  <c r="E223" i="10"/>
  <c r="E21" i="5"/>
  <c r="AH204" i="10" l="1"/>
  <c r="AB203" i="10"/>
  <c r="AB205" i="10" s="1"/>
  <c r="W204" i="10"/>
  <c r="Q203" i="10"/>
  <c r="Q205" i="10" s="1"/>
  <c r="AM204" i="10"/>
  <c r="AM205" i="10" s="1"/>
  <c r="AG203" i="10"/>
  <c r="Z204" i="10"/>
  <c r="T203" i="10"/>
  <c r="T205" i="10" s="1"/>
  <c r="AD204" i="10"/>
  <c r="X203" i="10"/>
  <c r="X205" i="10" s="1"/>
  <c r="X204" i="10"/>
  <c r="R203" i="10"/>
  <c r="R205" i="10" s="1"/>
  <c r="J203" i="10"/>
  <c r="J205" i="10" s="1"/>
  <c r="P204" i="10"/>
  <c r="P205" i="10" s="1"/>
  <c r="O20" i="2"/>
  <c r="O20" i="10"/>
  <c r="O19" i="2" s="1"/>
  <c r="W205" i="10"/>
  <c r="S204" i="10"/>
  <c r="S205" i="10" s="1"/>
  <c r="M203" i="10"/>
  <c r="M205" i="10" s="1"/>
  <c r="K223" i="10"/>
  <c r="K21" i="5"/>
  <c r="Z198" i="10"/>
  <c r="Z199" i="10" s="1"/>
  <c r="Z200" i="10" s="1"/>
  <c r="Z202" i="10" s="1"/>
  <c r="AL223" i="10"/>
  <c r="AL21" i="5"/>
  <c r="C26" i="2"/>
  <c r="C28" i="2"/>
  <c r="H223" i="10"/>
  <c r="H21" i="5"/>
  <c r="B5" i="6"/>
  <c r="B11" i="3"/>
  <c r="B20" i="3" s="1"/>
  <c r="B23" i="3"/>
  <c r="B13" i="1" s="1"/>
  <c r="B32" i="2"/>
  <c r="B10" i="1" s="1"/>
  <c r="B9" i="1"/>
  <c r="AE204" i="10"/>
  <c r="Y203" i="10"/>
  <c r="Y205" i="10" s="1"/>
  <c r="Z20" i="10"/>
  <c r="Z19" i="2" s="1"/>
  <c r="Z20" i="2"/>
  <c r="AJ204" i="10"/>
  <c r="AJ205" i="10" s="1"/>
  <c r="AD203" i="10"/>
  <c r="N205" i="10"/>
  <c r="O203" i="10"/>
  <c r="O205" i="10" s="1"/>
  <c r="U204" i="10"/>
  <c r="U205" i="10" s="1"/>
  <c r="M20" i="10"/>
  <c r="M19" i="2" s="1"/>
  <c r="M20" i="2"/>
  <c r="L223" i="10"/>
  <c r="L21" i="5"/>
  <c r="AA198" i="10"/>
  <c r="AA199" i="10" s="1"/>
  <c r="AA200" i="10" s="1"/>
  <c r="AA202" i="10" s="1"/>
  <c r="C21" i="7"/>
  <c r="C12" i="7"/>
  <c r="C13" i="7" s="1"/>
  <c r="C19" i="7" s="1"/>
  <c r="C20" i="7" s="1"/>
  <c r="C25" i="7" s="1"/>
  <c r="AA20" i="10"/>
  <c r="AA19" i="2" s="1"/>
  <c r="AA20" i="2"/>
  <c r="AI204" i="10"/>
  <c r="AI205" i="10" s="1"/>
  <c r="AC203" i="10"/>
  <c r="AC205" i="10" s="1"/>
  <c r="C20" i="5"/>
  <c r="C22" i="5" s="1"/>
  <c r="C23" i="7"/>
  <c r="C35" i="2"/>
  <c r="J20" i="10"/>
  <c r="J19" i="2" s="1"/>
  <c r="J20" i="2"/>
  <c r="AE205" i="10"/>
  <c r="AH205" i="10"/>
  <c r="AN223" i="10"/>
  <c r="AN21" i="5"/>
  <c r="AA203" i="10" l="1"/>
  <c r="AA205" i="10" s="1"/>
  <c r="AG204" i="10"/>
  <c r="AF204" i="10"/>
  <c r="AF205" i="10" s="1"/>
  <c r="Z203" i="10"/>
  <c r="Z205" i="10" s="1"/>
  <c r="B7" i="6"/>
  <c r="B12" i="1"/>
  <c r="B22" i="3"/>
  <c r="U223" i="10"/>
  <c r="U21" i="5"/>
  <c r="AI223" i="10"/>
  <c r="AI21" i="5"/>
  <c r="C27" i="7"/>
  <c r="C29" i="7"/>
  <c r="AL26" i="5"/>
  <c r="AL13" i="6"/>
  <c r="T223" i="10"/>
  <c r="T21" i="5"/>
  <c r="W223" i="10"/>
  <c r="W21" i="5"/>
  <c r="X223" i="10"/>
  <c r="X21" i="5"/>
  <c r="AN26" i="5"/>
  <c r="AN13" i="6"/>
  <c r="AN22" i="5"/>
  <c r="AG205" i="10"/>
  <c r="O223" i="10"/>
  <c r="O21" i="5"/>
  <c r="N223" i="10"/>
  <c r="N21" i="5"/>
  <c r="AM223" i="10"/>
  <c r="AM21" i="5"/>
  <c r="C8" i="3"/>
  <c r="C7" i="3"/>
  <c r="D25" i="2"/>
  <c r="C6" i="3"/>
  <c r="C5" i="3"/>
  <c r="C6" i="1"/>
  <c r="C10" i="3"/>
  <c r="C9" i="3"/>
  <c r="C31" i="2"/>
  <c r="Q223" i="10"/>
  <c r="Q21" i="5"/>
  <c r="C13" i="6"/>
  <c r="C15" i="6" s="1"/>
  <c r="C26" i="5"/>
  <c r="AD205" i="10"/>
  <c r="AJ223" i="10"/>
  <c r="AJ21" i="5"/>
  <c r="R223" i="10"/>
  <c r="R21" i="5"/>
  <c r="D22" i="2"/>
  <c r="C36" i="2"/>
  <c r="AC223" i="10"/>
  <c r="AC21" i="5"/>
  <c r="B18" i="6"/>
  <c r="B16" i="1" s="1"/>
  <c r="B9" i="6"/>
  <c r="B8" i="6"/>
  <c r="B17" i="6" s="1"/>
  <c r="B20" i="6" l="1"/>
  <c r="B34" i="1"/>
  <c r="B15" i="1"/>
  <c r="AM26" i="5"/>
  <c r="AM13" i="6"/>
  <c r="AM22" i="5"/>
  <c r="C5" i="6"/>
  <c r="C23" i="3"/>
  <c r="C13" i="1" s="1"/>
  <c r="C32" i="2"/>
  <c r="C10" i="1" s="1"/>
  <c r="C11" i="3"/>
  <c r="C9" i="1"/>
  <c r="AG223" i="10"/>
  <c r="AG21" i="5"/>
  <c r="C20" i="3"/>
  <c r="C22" i="3" s="1"/>
  <c r="AF223" i="10"/>
  <c r="AF21" i="5"/>
  <c r="Z223" i="10"/>
  <c r="Z21" i="5"/>
  <c r="D23" i="2"/>
  <c r="D34" i="2"/>
  <c r="D26" i="2"/>
  <c r="AD223" i="10"/>
  <c r="AD21" i="5"/>
  <c r="AA223" i="10"/>
  <c r="AA21" i="5"/>
  <c r="C7" i="6" l="1"/>
  <c r="C12" i="1"/>
  <c r="D27" i="2"/>
  <c r="D30" i="2"/>
  <c r="C9" i="6"/>
  <c r="C8" i="6"/>
  <c r="C17" i="6" s="1"/>
  <c r="C18" i="6"/>
  <c r="C16" i="1" s="1"/>
  <c r="D20" i="5"/>
  <c r="D22" i="5" s="1"/>
  <c r="D23" i="7"/>
  <c r="D35" i="2"/>
  <c r="C20" i="6"/>
  <c r="B21" i="6"/>
  <c r="B35" i="1"/>
  <c r="B36" i="1" l="1"/>
  <c r="B37" i="1" s="1"/>
  <c r="E22" i="2"/>
  <c r="D36" i="2"/>
  <c r="C21" i="6"/>
  <c r="C36" i="1" s="1"/>
  <c r="C37" i="1" s="1"/>
  <c r="C35" i="1"/>
  <c r="D13" i="6"/>
  <c r="D15" i="6" s="1"/>
  <c r="D26" i="5"/>
  <c r="C34" i="1"/>
  <c r="C15" i="1"/>
  <c r="D16" i="7"/>
  <c r="D17" i="7" s="1"/>
  <c r="D5" i="7"/>
  <c r="D5" i="1"/>
  <c r="D28" i="2"/>
  <c r="D12" i="7" l="1"/>
  <c r="D13" i="7" s="1"/>
  <c r="D19" i="7" s="1"/>
  <c r="D20" i="7" s="1"/>
  <c r="D25" i="7" s="1"/>
  <c r="D21" i="7"/>
  <c r="E23" i="2"/>
  <c r="E34" i="2"/>
  <c r="D7" i="3"/>
  <c r="D6" i="3"/>
  <c r="D31" i="2"/>
  <c r="D5" i="3"/>
  <c r="D10" i="3"/>
  <c r="D9" i="3"/>
  <c r="E25" i="2"/>
  <c r="D8" i="3"/>
  <c r="D6" i="1"/>
  <c r="D27" i="7" l="1"/>
  <c r="D29" i="7"/>
  <c r="E26" i="2"/>
  <c r="E28" i="2" s="1"/>
  <c r="D5" i="6"/>
  <c r="D23" i="3"/>
  <c r="D13" i="1" s="1"/>
  <c r="D32" i="2"/>
  <c r="D10" i="1" s="1"/>
  <c r="D11" i="3"/>
  <c r="D20" i="3" s="1"/>
  <c r="D9" i="1"/>
  <c r="E30" i="2"/>
  <c r="E27" i="2"/>
  <c r="E23" i="7" s="1"/>
  <c r="E20" i="5"/>
  <c r="E22" i="5" s="1"/>
  <c r="E35" i="2"/>
  <c r="D7" i="6" l="1"/>
  <c r="D12" i="1"/>
  <c r="D22" i="3"/>
  <c r="E9" i="3"/>
  <c r="E7" i="3"/>
  <c r="F25" i="2"/>
  <c r="E6" i="3"/>
  <c r="E31" i="2"/>
  <c r="E10" i="3"/>
  <c r="E8" i="3"/>
  <c r="E5" i="3"/>
  <c r="E6" i="1"/>
  <c r="F22" i="2"/>
  <c r="E36" i="2"/>
  <c r="E13" i="6"/>
  <c r="E15" i="6" s="1"/>
  <c r="E26" i="5"/>
  <c r="D18" i="6"/>
  <c r="D16" i="1" s="1"/>
  <c r="D8" i="6"/>
  <c r="D17" i="6" s="1"/>
  <c r="D9" i="6"/>
  <c r="E16" i="7"/>
  <c r="E17" i="7" s="1"/>
  <c r="E5" i="7"/>
  <c r="E5" i="1"/>
  <c r="F26" i="2" l="1"/>
  <c r="E12" i="7"/>
  <c r="E13" i="7" s="1"/>
  <c r="E19" i="7" s="1"/>
  <c r="E20" i="7" s="1"/>
  <c r="F23" i="2"/>
  <c r="F34" i="2"/>
  <c r="E5" i="6"/>
  <c r="E32" i="2"/>
  <c r="E10" i="1" s="1"/>
  <c r="E11" i="3"/>
  <c r="E20" i="3" s="1"/>
  <c r="E9" i="1"/>
  <c r="D34" i="1"/>
  <c r="D15" i="1"/>
  <c r="D20" i="6"/>
  <c r="E7" i="6" l="1"/>
  <c r="E12" i="1"/>
  <c r="E22" i="3"/>
  <c r="E23" i="3" s="1"/>
  <c r="E13" i="1" s="1"/>
  <c r="E25" i="7"/>
  <c r="E21" i="7"/>
  <c r="E8" i="6"/>
  <c r="E17" i="6" s="1"/>
  <c r="E18" i="6"/>
  <c r="E16" i="1" s="1"/>
  <c r="F20" i="5"/>
  <c r="F22" i="5" s="1"/>
  <c r="F35" i="2"/>
  <c r="F30" i="2"/>
  <c r="F27" i="2"/>
  <c r="D21" i="6"/>
  <c r="E20" i="6"/>
  <c r="D35" i="1"/>
  <c r="D36" i="1" l="1"/>
  <c r="D37" i="1" s="1"/>
  <c r="F5" i="7"/>
  <c r="F16" i="7"/>
  <c r="F5" i="1"/>
  <c r="E21" i="6"/>
  <c r="E36" i="1" s="1"/>
  <c r="E37" i="1" s="1"/>
  <c r="E35" i="1"/>
  <c r="F13" i="6"/>
  <c r="F15" i="6" s="1"/>
  <c r="F26" i="5"/>
  <c r="E15" i="1"/>
  <c r="E34" i="1"/>
  <c r="F28" i="2"/>
  <c r="F36" i="2" s="1"/>
  <c r="G22" i="2"/>
  <c r="F23" i="7"/>
  <c r="E9" i="6"/>
  <c r="E29" i="7"/>
  <c r="E27" i="7"/>
  <c r="G23" i="2" l="1"/>
  <c r="G34" i="2"/>
  <c r="F7" i="3"/>
  <c r="G25" i="2"/>
  <c r="F6" i="3"/>
  <c r="F31" i="2"/>
  <c r="F5" i="3"/>
  <c r="F10" i="3"/>
  <c r="F9" i="3"/>
  <c r="F8" i="3"/>
  <c r="F6" i="1"/>
  <c r="F5" i="6" l="1"/>
  <c r="F32" i="2"/>
  <c r="F10" i="1" s="1"/>
  <c r="F11" i="3"/>
  <c r="F9" i="1"/>
  <c r="G26" i="2"/>
  <c r="G28" i="2" s="1"/>
  <c r="G20" i="5"/>
  <c r="G35" i="2"/>
  <c r="G27" i="2"/>
  <c r="G23" i="7" s="1"/>
  <c r="G30" i="2"/>
  <c r="F20" i="3"/>
  <c r="G7" i="3" l="1"/>
  <c r="H25" i="2"/>
  <c r="G6" i="3"/>
  <c r="G31" i="2"/>
  <c r="G5" i="3"/>
  <c r="G10" i="3"/>
  <c r="G9" i="3"/>
  <c r="G8" i="3"/>
  <c r="G6" i="1"/>
  <c r="F7" i="6"/>
  <c r="F8" i="6" s="1"/>
  <c r="F12" i="1"/>
  <c r="G36" i="2"/>
  <c r="H22" i="2"/>
  <c r="G16" i="7"/>
  <c r="G5" i="7"/>
  <c r="G5" i="1"/>
  <c r="F22" i="3"/>
  <c r="F23" i="3" s="1"/>
  <c r="F13" i="1" s="1"/>
  <c r="F17" i="6" l="1"/>
  <c r="F9" i="6"/>
  <c r="H23" i="2"/>
  <c r="H34" i="2"/>
  <c r="H26" i="2"/>
  <c r="G219" i="10"/>
  <c r="G220" i="10" s="1"/>
  <c r="G5" i="6"/>
  <c r="G32" i="2"/>
  <c r="G10" i="1" s="1"/>
  <c r="G11" i="3"/>
  <c r="G20" i="3" s="1"/>
  <c r="G9" i="1"/>
  <c r="G7" i="6" l="1"/>
  <c r="G12" i="1"/>
  <c r="G22" i="3"/>
  <c r="G23" i="3" s="1"/>
  <c r="G13" i="1" s="1"/>
  <c r="G8" i="6"/>
  <c r="H20" i="5"/>
  <c r="H22" i="5" s="1"/>
  <c r="H35" i="2"/>
  <c r="G221" i="10"/>
  <c r="G223" i="10"/>
  <c r="G21" i="5"/>
  <c r="G22" i="5" s="1"/>
  <c r="H27" i="2"/>
  <c r="H30" i="2"/>
  <c r="F15" i="1"/>
  <c r="F34" i="1"/>
  <c r="F20" i="6"/>
  <c r="F18" i="6"/>
  <c r="F16" i="1" s="1"/>
  <c r="H16" i="7" l="1"/>
  <c r="H5" i="7"/>
  <c r="H5" i="1"/>
  <c r="I22" i="2"/>
  <c r="G13" i="6"/>
  <c r="G15" i="6" s="1"/>
  <c r="G17" i="6" s="1"/>
  <c r="G26" i="5"/>
  <c r="H13" i="6"/>
  <c r="H15" i="6" s="1"/>
  <c r="H26" i="5"/>
  <c r="H23" i="7"/>
  <c r="G9" i="6"/>
  <c r="H28" i="2"/>
  <c r="F21" i="6"/>
  <c r="F35" i="1"/>
  <c r="G15" i="1" l="1"/>
  <c r="G34" i="1"/>
  <c r="G18" i="6"/>
  <c r="G16" i="1" s="1"/>
  <c r="G20" i="6"/>
  <c r="F36" i="1"/>
  <c r="F37" i="1" s="1"/>
  <c r="I25" i="2"/>
  <c r="H6" i="3"/>
  <c r="H31" i="2"/>
  <c r="H5" i="3"/>
  <c r="H10" i="3"/>
  <c r="H9" i="3"/>
  <c r="H8" i="3"/>
  <c r="H6" i="1"/>
  <c r="H7" i="3"/>
  <c r="I23" i="2"/>
  <c r="I34" i="2"/>
  <c r="H36" i="2"/>
  <c r="I26" i="2" l="1"/>
  <c r="I28" i="2" s="1"/>
  <c r="H5" i="6"/>
  <c r="H32" i="2"/>
  <c r="H10" i="1" s="1"/>
  <c r="H11" i="3"/>
  <c r="H20" i="3" s="1"/>
  <c r="H9" i="1"/>
  <c r="G21" i="6"/>
  <c r="G36" i="1" s="1"/>
  <c r="G37" i="1" s="1"/>
  <c r="G35" i="1"/>
  <c r="I20" i="5"/>
  <c r="I22" i="5" s="1"/>
  <c r="I35" i="2"/>
  <c r="I27" i="2"/>
  <c r="I30" i="2"/>
  <c r="H7" i="6" l="1"/>
  <c r="H12" i="1"/>
  <c r="H22" i="3"/>
  <c r="H23" i="3" s="1"/>
  <c r="H13" i="1" s="1"/>
  <c r="I6" i="3"/>
  <c r="I31" i="2"/>
  <c r="I5" i="3"/>
  <c r="I10" i="3"/>
  <c r="I9" i="3"/>
  <c r="I8" i="3"/>
  <c r="I7" i="3"/>
  <c r="J25" i="2"/>
  <c r="I6" i="1"/>
  <c r="I5" i="7"/>
  <c r="I16" i="7"/>
  <c r="I5" i="1"/>
  <c r="I36" i="2"/>
  <c r="J22" i="2"/>
  <c r="I13" i="6"/>
  <c r="I15" i="6" s="1"/>
  <c r="I26" i="5"/>
  <c r="I23" i="7"/>
  <c r="H8" i="6"/>
  <c r="H17" i="6" s="1"/>
  <c r="H18" i="6" s="1"/>
  <c r="H16" i="1" s="1"/>
  <c r="H9" i="6" l="1"/>
  <c r="J26" i="2"/>
  <c r="H15" i="1"/>
  <c r="H34" i="1"/>
  <c r="H20" i="6"/>
  <c r="J23" i="2"/>
  <c r="J34" i="2"/>
  <c r="I11" i="3"/>
  <c r="I20" i="3" s="1"/>
  <c r="I5" i="6"/>
  <c r="I32" i="2"/>
  <c r="I10" i="1" s="1"/>
  <c r="I9" i="1"/>
  <c r="I7" i="6" l="1"/>
  <c r="I12" i="1"/>
  <c r="I22" i="3"/>
  <c r="I23" i="3" s="1"/>
  <c r="I13" i="1" s="1"/>
  <c r="H21" i="6"/>
  <c r="H36" i="1" s="1"/>
  <c r="H37" i="1" s="1"/>
  <c r="H35" i="1"/>
  <c r="I8" i="6"/>
  <c r="I17" i="6" s="1"/>
  <c r="I9" i="6"/>
  <c r="I18" i="6"/>
  <c r="I16" i="1" s="1"/>
  <c r="J20" i="5"/>
  <c r="J35" i="2"/>
  <c r="J27" i="2"/>
  <c r="J30" i="2"/>
  <c r="J16" i="7" l="1"/>
  <c r="J5" i="7"/>
  <c r="J5" i="1"/>
  <c r="J28" i="2"/>
  <c r="J23" i="7"/>
  <c r="I15" i="1"/>
  <c r="I34" i="1"/>
  <c r="I20" i="6"/>
  <c r="J36" i="2"/>
  <c r="K22" i="2"/>
  <c r="I21" i="6" l="1"/>
  <c r="I36" i="1" s="1"/>
  <c r="I37" i="1" s="1"/>
  <c r="I35" i="1"/>
  <c r="J8" i="3"/>
  <c r="J6" i="3"/>
  <c r="J31" i="2"/>
  <c r="J5" i="3"/>
  <c r="J10" i="3"/>
  <c r="J9" i="3"/>
  <c r="J7" i="3"/>
  <c r="K25" i="2"/>
  <c r="J6" i="1"/>
  <c r="K23" i="2"/>
  <c r="K34" i="2"/>
  <c r="K30" i="2" l="1"/>
  <c r="K27" i="2"/>
  <c r="K26" i="2"/>
  <c r="K28" i="2"/>
  <c r="K23" i="7"/>
  <c r="K20" i="5"/>
  <c r="K22" i="5" s="1"/>
  <c r="K35" i="2"/>
  <c r="J219" i="10"/>
  <c r="J220" i="10" s="1"/>
  <c r="J5" i="6"/>
  <c r="J11" i="3"/>
  <c r="J20" i="3" s="1"/>
  <c r="J9" i="1"/>
  <c r="J32" i="2"/>
  <c r="J10" i="1" s="1"/>
  <c r="J7" i="6" l="1"/>
  <c r="J12" i="1"/>
  <c r="J22" i="3"/>
  <c r="J23" i="3" s="1"/>
  <c r="J13" i="1" s="1"/>
  <c r="J221" i="10"/>
  <c r="J21" i="5"/>
  <c r="J22" i="5" s="1"/>
  <c r="J223" i="10"/>
  <c r="K13" i="6"/>
  <c r="K15" i="6" s="1"/>
  <c r="K26" i="5"/>
  <c r="J8" i="6"/>
  <c r="L22" i="2"/>
  <c r="K36" i="2"/>
  <c r="K6" i="3"/>
  <c r="K31" i="2"/>
  <c r="K5" i="3"/>
  <c r="K10" i="3"/>
  <c r="K9" i="3"/>
  <c r="K8" i="3"/>
  <c r="L25" i="2"/>
  <c r="K6" i="1"/>
  <c r="K7" i="3"/>
  <c r="K16" i="7"/>
  <c r="K5" i="7"/>
  <c r="K5" i="1"/>
  <c r="K5" i="6" l="1"/>
  <c r="K11" i="3"/>
  <c r="K32" i="2"/>
  <c r="K10" i="1" s="1"/>
  <c r="K9" i="1"/>
  <c r="J9" i="6"/>
  <c r="J13" i="6"/>
  <c r="J15" i="6" s="1"/>
  <c r="J17" i="6" s="1"/>
  <c r="J26" i="5"/>
  <c r="L26" i="2"/>
  <c r="L23" i="2"/>
  <c r="L34" i="2"/>
  <c r="K20" i="3"/>
  <c r="J15" i="1" l="1"/>
  <c r="J34" i="1"/>
  <c r="J20" i="6"/>
  <c r="J18" i="6"/>
  <c r="J16" i="1" s="1"/>
  <c r="L20" i="5"/>
  <c r="L22" i="5" s="1"/>
  <c r="L35" i="2"/>
  <c r="K7" i="6"/>
  <c r="K12" i="1"/>
  <c r="L30" i="2"/>
  <c r="L27" i="2"/>
  <c r="L23" i="7" s="1"/>
  <c r="K22" i="3"/>
  <c r="K23" i="3" s="1"/>
  <c r="K13" i="1" s="1"/>
  <c r="K8" i="6"/>
  <c r="K17" i="6" s="1"/>
  <c r="K18" i="6"/>
  <c r="K16" i="1" s="1"/>
  <c r="M22" i="2" l="1"/>
  <c r="K15" i="1"/>
  <c r="K34" i="1"/>
  <c r="K9" i="6"/>
  <c r="L16" i="7"/>
  <c r="L5" i="7"/>
  <c r="L5" i="1"/>
  <c r="L13" i="6"/>
  <c r="L15" i="6" s="1"/>
  <c r="L26" i="5"/>
  <c r="J21" i="6"/>
  <c r="J36" i="1" s="1"/>
  <c r="J37" i="1" s="1"/>
  <c r="K20" i="6"/>
  <c r="J35" i="1"/>
  <c r="L28" i="2"/>
  <c r="L6" i="3" l="1"/>
  <c r="L31" i="2"/>
  <c r="L5" i="3"/>
  <c r="L10" i="3"/>
  <c r="L9" i="3"/>
  <c r="L8" i="3"/>
  <c r="L7" i="3"/>
  <c r="L6" i="1"/>
  <c r="M25" i="2"/>
  <c r="K21" i="6"/>
  <c r="K36" i="1" s="1"/>
  <c r="K37" i="1" s="1"/>
  <c r="K35" i="1"/>
  <c r="L36" i="2"/>
  <c r="M23" i="2"/>
  <c r="M34" i="2"/>
  <c r="M30" i="2" l="1"/>
  <c r="M27" i="2"/>
  <c r="M23" i="7"/>
  <c r="M20" i="5"/>
  <c r="M35" i="2"/>
  <c r="M26" i="2"/>
  <c r="M28" i="2" s="1"/>
  <c r="L5" i="6"/>
  <c r="L11" i="3"/>
  <c r="L20" i="3" s="1"/>
  <c r="L32" i="2"/>
  <c r="L10" i="1" s="1"/>
  <c r="L9" i="1"/>
  <c r="L7" i="6" l="1"/>
  <c r="L12" i="1"/>
  <c r="L22" i="3"/>
  <c r="L23" i="3" s="1"/>
  <c r="L13" i="1" s="1"/>
  <c r="M10" i="3"/>
  <c r="M31" i="2"/>
  <c r="M5" i="3"/>
  <c r="M9" i="3"/>
  <c r="M8" i="3"/>
  <c r="M7" i="3"/>
  <c r="M6" i="3"/>
  <c r="M6" i="1"/>
  <c r="B22" i="1" s="1"/>
  <c r="N25" i="2"/>
  <c r="N22" i="2"/>
  <c r="M36" i="2"/>
  <c r="B27" i="1"/>
  <c r="L9" i="6"/>
  <c r="L8" i="6"/>
  <c r="L17" i="6" s="1"/>
  <c r="L18" i="6"/>
  <c r="L16" i="1" s="1"/>
  <c r="M16" i="7"/>
  <c r="M5" i="7"/>
  <c r="M5" i="1"/>
  <c r="N23" i="2" l="1"/>
  <c r="N34" i="2"/>
  <c r="M219" i="10"/>
  <c r="M220" i="10" s="1"/>
  <c r="M5" i="6"/>
  <c r="M11" i="3"/>
  <c r="M20" i="3" s="1"/>
  <c r="M32" i="2"/>
  <c r="M10" i="1" s="1"/>
  <c r="M9" i="1"/>
  <c r="B21" i="1" s="1"/>
  <c r="L34" i="1"/>
  <c r="L15" i="1"/>
  <c r="L20" i="6"/>
  <c r="N26" i="2"/>
  <c r="M7" i="6" l="1"/>
  <c r="M12" i="1"/>
  <c r="M22" i="3"/>
  <c r="M23" i="3" s="1"/>
  <c r="L21" i="6"/>
  <c r="L36" i="1" s="1"/>
  <c r="L37" i="1" s="1"/>
  <c r="L35" i="1"/>
  <c r="M221" i="10"/>
  <c r="M223" i="10"/>
  <c r="M21" i="5"/>
  <c r="M22" i="5" s="1"/>
  <c r="M8" i="6"/>
  <c r="N23" i="7"/>
  <c r="N20" i="5"/>
  <c r="N22" i="5" s="1"/>
  <c r="N35" i="2"/>
  <c r="N30" i="2"/>
  <c r="N27" i="2"/>
  <c r="O22" i="2" l="1"/>
  <c r="M13" i="6"/>
  <c r="M15" i="6" s="1"/>
  <c r="M26" i="5"/>
  <c r="N13" i="6"/>
  <c r="N15" i="6" s="1"/>
  <c r="N26" i="5"/>
  <c r="M17" i="6"/>
  <c r="M9" i="6"/>
  <c r="M13" i="1"/>
  <c r="B23" i="1"/>
  <c r="N16" i="7"/>
  <c r="N5" i="7"/>
  <c r="N5" i="1"/>
  <c r="N28" i="2"/>
  <c r="N31" i="2" l="1"/>
  <c r="N5" i="3"/>
  <c r="N10" i="3"/>
  <c r="N9" i="3"/>
  <c r="N8" i="3"/>
  <c r="N7" i="3"/>
  <c r="O25" i="2"/>
  <c r="N6" i="3"/>
  <c r="N6" i="1"/>
  <c r="B24" i="1"/>
  <c r="M34" i="1"/>
  <c r="M15" i="1"/>
  <c r="B41" i="1"/>
  <c r="M20" i="6"/>
  <c r="M18" i="6"/>
  <c r="N36" i="2"/>
  <c r="O23" i="2"/>
  <c r="O34" i="2"/>
  <c r="B25" i="1" l="1"/>
  <c r="M16" i="1"/>
  <c r="M21" i="6"/>
  <c r="M35" i="1"/>
  <c r="O20" i="5"/>
  <c r="O22" i="5" s="1"/>
  <c r="O35" i="2"/>
  <c r="O26" i="2"/>
  <c r="O28" i="2" s="1"/>
  <c r="O27" i="2"/>
  <c r="O30" i="2"/>
  <c r="N11" i="3"/>
  <c r="N20" i="3" s="1"/>
  <c r="N5" i="6"/>
  <c r="N32" i="2"/>
  <c r="N10" i="1" s="1"/>
  <c r="N9" i="1"/>
  <c r="N7" i="6" l="1"/>
  <c r="N12" i="1"/>
  <c r="N22" i="3"/>
  <c r="N23" i="3" s="1"/>
  <c r="N13" i="1" s="1"/>
  <c r="O5" i="3"/>
  <c r="O10" i="3"/>
  <c r="O9" i="3"/>
  <c r="O8" i="3"/>
  <c r="O7" i="3"/>
  <c r="P25" i="2"/>
  <c r="O6" i="3"/>
  <c r="O6" i="1"/>
  <c r="O31" i="2"/>
  <c r="O13" i="6"/>
  <c r="O15" i="6" s="1"/>
  <c r="O26" i="5"/>
  <c r="N8" i="6"/>
  <c r="N17" i="6" s="1"/>
  <c r="O16" i="7"/>
  <c r="O5" i="7"/>
  <c r="O5" i="1"/>
  <c r="P22" i="2"/>
  <c r="O36" i="2"/>
  <c r="O23" i="7"/>
  <c r="B40" i="1"/>
  <c r="M36" i="1"/>
  <c r="M37" i="1" s="1"/>
  <c r="B42" i="1"/>
  <c r="N34" i="1" l="1"/>
  <c r="N15" i="1"/>
  <c r="N20" i="6"/>
  <c r="P26" i="2"/>
  <c r="N9" i="6"/>
  <c r="O5" i="6"/>
  <c r="O11" i="3"/>
  <c r="O20" i="3" s="1"/>
  <c r="O32" i="2"/>
  <c r="O10" i="1" s="1"/>
  <c r="O9" i="1"/>
  <c r="P23" i="2"/>
  <c r="P34" i="2"/>
  <c r="N18" i="6"/>
  <c r="N16" i="1" s="1"/>
  <c r="O7" i="6" l="1"/>
  <c r="O12" i="1"/>
  <c r="O22" i="3"/>
  <c r="O23" i="3" s="1"/>
  <c r="O13" i="1" s="1"/>
  <c r="P20" i="5"/>
  <c r="P35" i="2"/>
  <c r="P27" i="2"/>
  <c r="P28" i="2" s="1"/>
  <c r="P30" i="2"/>
  <c r="O8" i="6"/>
  <c r="O17" i="6" s="1"/>
  <c r="N21" i="6"/>
  <c r="N35" i="1"/>
  <c r="P10" i="3" l="1"/>
  <c r="P5" i="3"/>
  <c r="P9" i="3"/>
  <c r="P8" i="3"/>
  <c r="P7" i="3"/>
  <c r="Q25" i="2"/>
  <c r="P31" i="2"/>
  <c r="P6" i="1"/>
  <c r="P6" i="3"/>
  <c r="O34" i="1"/>
  <c r="O15" i="1"/>
  <c r="N36" i="1"/>
  <c r="N37" i="1" s="1"/>
  <c r="O18" i="6"/>
  <c r="O16" i="1" s="1"/>
  <c r="O20" i="6"/>
  <c r="Q22" i="2"/>
  <c r="P36" i="2"/>
  <c r="P23" i="7"/>
  <c r="O9" i="6"/>
  <c r="P5" i="7"/>
  <c r="P16" i="7"/>
  <c r="P5" i="1"/>
  <c r="P219" i="10" l="1"/>
  <c r="P220" i="10" s="1"/>
  <c r="P5" i="6"/>
  <c r="P11" i="3"/>
  <c r="P32" i="2"/>
  <c r="P10" i="1" s="1"/>
  <c r="P9" i="1"/>
  <c r="Q26" i="2"/>
  <c r="P20" i="3"/>
  <c r="Q23" i="2"/>
  <c r="Q34" i="2"/>
  <c r="O21" i="6"/>
  <c r="O35" i="1"/>
  <c r="P7" i="6" l="1"/>
  <c r="P12" i="1"/>
  <c r="O36" i="1"/>
  <c r="O37" i="1" s="1"/>
  <c r="Q20" i="5"/>
  <c r="Q22" i="5" s="1"/>
  <c r="Q35" i="2"/>
  <c r="Q30" i="2"/>
  <c r="Q27" i="2"/>
  <c r="P22" i="3"/>
  <c r="P23" i="3" s="1"/>
  <c r="P13" i="1" s="1"/>
  <c r="P8" i="6"/>
  <c r="P221" i="10"/>
  <c r="P223" i="10"/>
  <c r="P21" i="5"/>
  <c r="P22" i="5" s="1"/>
  <c r="Q5" i="7" l="1"/>
  <c r="Q16" i="7"/>
  <c r="Q5" i="1"/>
  <c r="R22" i="2"/>
  <c r="Q23" i="7"/>
  <c r="Q13" i="6"/>
  <c r="Q15" i="6" s="1"/>
  <c r="Q26" i="5"/>
  <c r="P9" i="6"/>
  <c r="P13" i="6"/>
  <c r="P15" i="6" s="1"/>
  <c r="P17" i="6" s="1"/>
  <c r="P26" i="5"/>
  <c r="Q28" i="2"/>
  <c r="P34" i="1" l="1"/>
  <c r="P15" i="1"/>
  <c r="P20" i="6"/>
  <c r="P18" i="6"/>
  <c r="P16" i="1" s="1"/>
  <c r="Q5" i="3"/>
  <c r="Q9" i="3"/>
  <c r="Q10" i="3"/>
  <c r="Q8" i="3"/>
  <c r="Q7" i="3"/>
  <c r="R25" i="2"/>
  <c r="Q6" i="3"/>
  <c r="Q31" i="2"/>
  <c r="Q6" i="1"/>
  <c r="R23" i="2"/>
  <c r="R34" i="2"/>
  <c r="Q36" i="2"/>
  <c r="R20" i="5" l="1"/>
  <c r="R22" i="5" s="1"/>
  <c r="R35" i="2"/>
  <c r="Q5" i="6"/>
  <c r="Q11" i="3"/>
  <c r="Q32" i="2"/>
  <c r="Q10" i="1" s="1"/>
  <c r="Q9" i="1"/>
  <c r="R27" i="2"/>
  <c r="R30" i="2"/>
  <c r="R26" i="2"/>
  <c r="R28" i="2"/>
  <c r="Q20" i="3"/>
  <c r="P21" i="6"/>
  <c r="P35" i="1"/>
  <c r="Q7" i="6" l="1"/>
  <c r="Q12" i="1"/>
  <c r="R5" i="7"/>
  <c r="R16" i="7"/>
  <c r="R5" i="1"/>
  <c r="R9" i="3"/>
  <c r="R10" i="3"/>
  <c r="R8" i="3"/>
  <c r="R7" i="3"/>
  <c r="S25" i="2"/>
  <c r="R6" i="3"/>
  <c r="R6" i="1"/>
  <c r="R5" i="3"/>
  <c r="R31" i="2"/>
  <c r="Q22" i="3"/>
  <c r="Q23" i="3" s="1"/>
  <c r="Q13" i="1" s="1"/>
  <c r="R13" i="6"/>
  <c r="R15" i="6" s="1"/>
  <c r="R26" i="5"/>
  <c r="P36" i="1"/>
  <c r="P37" i="1" s="1"/>
  <c r="Q8" i="6"/>
  <c r="Q17" i="6" s="1"/>
  <c r="Q18" i="6"/>
  <c r="Q16" i="1" s="1"/>
  <c r="S22" i="2"/>
  <c r="R36" i="2"/>
  <c r="R23" i="7"/>
  <c r="S26" i="2" l="1"/>
  <c r="R5" i="6"/>
  <c r="R11" i="3"/>
  <c r="R20" i="3" s="1"/>
  <c r="R32" i="2"/>
  <c r="R10" i="1" s="1"/>
  <c r="R9" i="1"/>
  <c r="Q34" i="1"/>
  <c r="Q15" i="1"/>
  <c r="Q20" i="6"/>
  <c r="Q9" i="6"/>
  <c r="S23" i="2"/>
  <c r="S34" i="2"/>
  <c r="R7" i="6" l="1"/>
  <c r="R12" i="1"/>
  <c r="R22" i="3"/>
  <c r="R23" i="3" s="1"/>
  <c r="R13" i="1" s="1"/>
  <c r="S30" i="2"/>
  <c r="S27" i="2"/>
  <c r="S23" i="7"/>
  <c r="S20" i="5"/>
  <c r="S35" i="2"/>
  <c r="Q21" i="6"/>
  <c r="Q35" i="1"/>
  <c r="R8" i="6"/>
  <c r="R17" i="6" s="1"/>
  <c r="R34" i="1" l="1"/>
  <c r="R15" i="1"/>
  <c r="R18" i="6"/>
  <c r="R16" i="1" s="1"/>
  <c r="R20" i="6"/>
  <c r="T22" i="2"/>
  <c r="S5" i="7"/>
  <c r="S16" i="7"/>
  <c r="S5" i="1"/>
  <c r="S28" i="2"/>
  <c r="R9" i="6"/>
  <c r="Q36" i="1"/>
  <c r="Q37" i="1" s="1"/>
  <c r="T23" i="2" l="1"/>
  <c r="T34" i="2"/>
  <c r="S10" i="3"/>
  <c r="S9" i="3"/>
  <c r="S8" i="3"/>
  <c r="S7" i="3"/>
  <c r="T25" i="2"/>
  <c r="S6" i="3"/>
  <c r="S5" i="3"/>
  <c r="S6" i="1"/>
  <c r="S31" i="2"/>
  <c r="S36" i="2"/>
  <c r="R21" i="6"/>
  <c r="R35" i="1"/>
  <c r="S219" i="10" l="1"/>
  <c r="S220" i="10" s="1"/>
  <c r="S5" i="6"/>
  <c r="S11" i="3"/>
  <c r="S32" i="2"/>
  <c r="S10" i="1" s="1"/>
  <c r="S9" i="1"/>
  <c r="R36" i="1"/>
  <c r="R37" i="1" s="1"/>
  <c r="S20" i="3"/>
  <c r="T26" i="2"/>
  <c r="T28" i="2" s="1"/>
  <c r="T20" i="5"/>
  <c r="T22" i="5" s="1"/>
  <c r="T35" i="2"/>
  <c r="T27" i="2"/>
  <c r="T23" i="7" s="1"/>
  <c r="T30" i="2"/>
  <c r="T10" i="3" l="1"/>
  <c r="T9" i="3"/>
  <c r="T8" i="3"/>
  <c r="T7" i="3"/>
  <c r="T6" i="3"/>
  <c r="T31" i="2"/>
  <c r="T5" i="3"/>
  <c r="U25" i="2"/>
  <c r="T6" i="1"/>
  <c r="T5" i="7"/>
  <c r="T16" i="7"/>
  <c r="T5" i="1"/>
  <c r="T13" i="6"/>
  <c r="T15" i="6" s="1"/>
  <c r="T26" i="5"/>
  <c r="S7" i="6"/>
  <c r="S8" i="6" s="1"/>
  <c r="S12" i="1"/>
  <c r="S22" i="3"/>
  <c r="S23" i="3" s="1"/>
  <c r="S13" i="1" s="1"/>
  <c r="U22" i="2"/>
  <c r="T36" i="2"/>
  <c r="S221" i="10"/>
  <c r="S21" i="5"/>
  <c r="S22" i="5" s="1"/>
  <c r="S223" i="10"/>
  <c r="S9" i="6" l="1"/>
  <c r="T5" i="6"/>
  <c r="T11" i="3"/>
  <c r="T32" i="2"/>
  <c r="T10" i="1" s="1"/>
  <c r="T9" i="1"/>
  <c r="T20" i="3"/>
  <c r="U23" i="2"/>
  <c r="U34" i="2"/>
  <c r="S13" i="6"/>
  <c r="S15" i="6" s="1"/>
  <c r="S17" i="6" s="1"/>
  <c r="S26" i="5"/>
  <c r="U26" i="2"/>
  <c r="S34" i="1" l="1"/>
  <c r="S15" i="1"/>
  <c r="S20" i="6"/>
  <c r="S18" i="6"/>
  <c r="S16" i="1" s="1"/>
  <c r="U20" i="5"/>
  <c r="U22" i="5" s="1"/>
  <c r="U35" i="2"/>
  <c r="T7" i="6"/>
  <c r="T12" i="1"/>
  <c r="U27" i="2"/>
  <c r="U30" i="2"/>
  <c r="T8" i="6"/>
  <c r="T17" i="6" s="1"/>
  <c r="T18" i="6" s="1"/>
  <c r="T16" i="1" s="1"/>
  <c r="T22" i="3"/>
  <c r="T23" i="3" s="1"/>
  <c r="T13" i="1" s="1"/>
  <c r="U16" i="7" l="1"/>
  <c r="U5" i="7"/>
  <c r="U5" i="1"/>
  <c r="V22" i="2"/>
  <c r="T9" i="6"/>
  <c r="U23" i="7"/>
  <c r="T34" i="1"/>
  <c r="T15" i="1"/>
  <c r="U13" i="6"/>
  <c r="U15" i="6" s="1"/>
  <c r="U26" i="5"/>
  <c r="T20" i="6"/>
  <c r="S21" i="6"/>
  <c r="S36" i="1" s="1"/>
  <c r="S37" i="1" s="1"/>
  <c r="S35" i="1"/>
  <c r="U28" i="2"/>
  <c r="V23" i="2" l="1"/>
  <c r="V34" i="2"/>
  <c r="U9" i="3"/>
  <c r="U7" i="3"/>
  <c r="V25" i="2"/>
  <c r="U6" i="3"/>
  <c r="U31" i="2"/>
  <c r="U10" i="3"/>
  <c r="U5" i="3"/>
  <c r="U8" i="3"/>
  <c r="U6" i="1"/>
  <c r="T21" i="6"/>
  <c r="T36" i="1" s="1"/>
  <c r="T37" i="1" s="1"/>
  <c r="T35" i="1"/>
  <c r="U36" i="2"/>
  <c r="V26" i="2" l="1"/>
  <c r="V28" i="2" s="1"/>
  <c r="U5" i="6"/>
  <c r="U32" i="2"/>
  <c r="U10" i="1" s="1"/>
  <c r="U11" i="3"/>
  <c r="U20" i="3" s="1"/>
  <c r="U9" i="1"/>
  <c r="V23" i="7"/>
  <c r="V20" i="5"/>
  <c r="V35" i="2"/>
  <c r="V27" i="2"/>
  <c r="V30" i="2"/>
  <c r="U7" i="6" l="1"/>
  <c r="U12" i="1"/>
  <c r="U22" i="3"/>
  <c r="U23" i="3" s="1"/>
  <c r="U13" i="1" s="1"/>
  <c r="V7" i="3"/>
  <c r="W25" i="2"/>
  <c r="V6" i="3"/>
  <c r="V31" i="2"/>
  <c r="V5" i="3"/>
  <c r="V10" i="3"/>
  <c r="V8" i="3"/>
  <c r="V9" i="3"/>
  <c r="V6" i="1"/>
  <c r="V5" i="7"/>
  <c r="V16" i="7"/>
  <c r="V5" i="1"/>
  <c r="V36" i="2"/>
  <c r="W22" i="2"/>
  <c r="U8" i="6"/>
  <c r="U17" i="6" s="1"/>
  <c r="U34" i="1" l="1"/>
  <c r="U15" i="1"/>
  <c r="U20" i="6"/>
  <c r="U18" i="6"/>
  <c r="U16" i="1" s="1"/>
  <c r="U9" i="6"/>
  <c r="W23" i="2"/>
  <c r="W34" i="2"/>
  <c r="V219" i="10"/>
  <c r="V220" i="10" s="1"/>
  <c r="V5" i="6"/>
  <c r="V32" i="2"/>
  <c r="V10" i="1" s="1"/>
  <c r="V11" i="3"/>
  <c r="V20" i="3" s="1"/>
  <c r="V9" i="1"/>
  <c r="W26" i="2"/>
  <c r="V7" i="6" l="1"/>
  <c r="V12" i="1"/>
  <c r="V22" i="3"/>
  <c r="V23" i="3" s="1"/>
  <c r="V13" i="1" s="1"/>
  <c r="V8" i="6"/>
  <c r="W30" i="2"/>
  <c r="W27" i="2"/>
  <c r="V221" i="10"/>
  <c r="V21" i="5"/>
  <c r="V22" i="5" s="1"/>
  <c r="V223" i="10"/>
  <c r="W23" i="7"/>
  <c r="W20" i="5"/>
  <c r="W22" i="5" s="1"/>
  <c r="W35" i="2"/>
  <c r="U21" i="6"/>
  <c r="U36" i="1" s="1"/>
  <c r="U37" i="1" s="1"/>
  <c r="U35" i="1"/>
  <c r="W13" i="6" l="1"/>
  <c r="W15" i="6" s="1"/>
  <c r="W26" i="5"/>
  <c r="V13" i="6"/>
  <c r="V15" i="6" s="1"/>
  <c r="V26" i="5"/>
  <c r="W16" i="7"/>
  <c r="W5" i="7"/>
  <c r="W5" i="1"/>
  <c r="W28" i="2"/>
  <c r="W36" i="2"/>
  <c r="X22" i="2"/>
  <c r="V17" i="6"/>
  <c r="V9" i="6"/>
  <c r="V15" i="1" l="1"/>
  <c r="V34" i="1"/>
  <c r="V18" i="6"/>
  <c r="V16" i="1" s="1"/>
  <c r="V20" i="6"/>
  <c r="X23" i="2"/>
  <c r="X34" i="2"/>
  <c r="W8" i="3"/>
  <c r="W7" i="3"/>
  <c r="X25" i="2"/>
  <c r="W6" i="3"/>
  <c r="W31" i="2"/>
  <c r="W5" i="3"/>
  <c r="W10" i="3"/>
  <c r="W9" i="3"/>
  <c r="W6" i="1"/>
  <c r="X20" i="5" l="1"/>
  <c r="X22" i="5" s="1"/>
  <c r="X35" i="2"/>
  <c r="V21" i="6"/>
  <c r="V36" i="1" s="1"/>
  <c r="V37" i="1" s="1"/>
  <c r="V35" i="1"/>
  <c r="W5" i="6"/>
  <c r="W32" i="2"/>
  <c r="W10" i="1" s="1"/>
  <c r="W11" i="3"/>
  <c r="W20" i="3" s="1"/>
  <c r="W9" i="1"/>
  <c r="X26" i="2"/>
  <c r="X28" i="2" s="1"/>
  <c r="X27" i="2"/>
  <c r="X23" i="7" s="1"/>
  <c r="X30" i="2"/>
  <c r="Y25" i="2" l="1"/>
  <c r="X6" i="3"/>
  <c r="X31" i="2"/>
  <c r="X5" i="3"/>
  <c r="X10" i="3"/>
  <c r="X9" i="3"/>
  <c r="X8" i="3"/>
  <c r="X6" i="1"/>
  <c r="X7" i="3"/>
  <c r="W7" i="6"/>
  <c r="W12" i="1"/>
  <c r="W22" i="3"/>
  <c r="W23" i="3" s="1"/>
  <c r="W13" i="1" s="1"/>
  <c r="W8" i="6"/>
  <c r="W17" i="6" s="1"/>
  <c r="W18" i="6" s="1"/>
  <c r="W16" i="1" s="1"/>
  <c r="W9" i="6"/>
  <c r="X5" i="7"/>
  <c r="X16" i="7"/>
  <c r="X5" i="1"/>
  <c r="X36" i="2"/>
  <c r="Y22" i="2"/>
  <c r="X13" i="6"/>
  <c r="X15" i="6" s="1"/>
  <c r="X26" i="5"/>
  <c r="W15" i="1" l="1"/>
  <c r="W34" i="1"/>
  <c r="W20" i="6"/>
  <c r="Y23" i="2"/>
  <c r="Y34" i="2"/>
  <c r="X5" i="6"/>
  <c r="X32" i="2"/>
  <c r="X10" i="1" s="1"/>
  <c r="X11" i="3"/>
  <c r="X20" i="3" s="1"/>
  <c r="X9" i="1"/>
  <c r="Y26" i="2"/>
  <c r="X7" i="6" l="1"/>
  <c r="X12" i="1"/>
  <c r="X22" i="3"/>
  <c r="X23" i="3" s="1"/>
  <c r="X13" i="1" s="1"/>
  <c r="Y20" i="5"/>
  <c r="Y35" i="2"/>
  <c r="X8" i="6"/>
  <c r="X17" i="6" s="1"/>
  <c r="X9" i="6"/>
  <c r="X18" i="6"/>
  <c r="X16" i="1" s="1"/>
  <c r="Y30" i="2"/>
  <c r="Y27" i="2"/>
  <c r="W21" i="6"/>
  <c r="W36" i="1" s="1"/>
  <c r="W37" i="1" s="1"/>
  <c r="X20" i="6"/>
  <c r="W35" i="1"/>
  <c r="X21" i="6" l="1"/>
  <c r="X36" i="1" s="1"/>
  <c r="X37" i="1" s="1"/>
  <c r="X35" i="1"/>
  <c r="Y16" i="7"/>
  <c r="Y5" i="7"/>
  <c r="Y5" i="1"/>
  <c r="Z22" i="2"/>
  <c r="C27" i="1"/>
  <c r="Y23" i="7"/>
  <c r="X15" i="1"/>
  <c r="X34" i="1"/>
  <c r="Y28" i="2"/>
  <c r="Z23" i="2" l="1"/>
  <c r="Z34" i="2"/>
  <c r="Y6" i="3"/>
  <c r="Y31" i="2"/>
  <c r="Y5" i="3"/>
  <c r="Y10" i="3"/>
  <c r="Y9" i="3"/>
  <c r="Y8" i="3"/>
  <c r="Y7" i="3"/>
  <c r="Z25" i="2"/>
  <c r="Y6" i="1"/>
  <c r="C22" i="1" s="1"/>
  <c r="Y36" i="2"/>
  <c r="Y219" i="10" l="1"/>
  <c r="Y220" i="10" s="1"/>
  <c r="Y11" i="3"/>
  <c r="Y5" i="6"/>
  <c r="Y32" i="2"/>
  <c r="Y10" i="1" s="1"/>
  <c r="Y9" i="1"/>
  <c r="Z26" i="2"/>
  <c r="Z28" i="2" s="1"/>
  <c r="Y20" i="3"/>
  <c r="Z20" i="5"/>
  <c r="Z22" i="5" s="1"/>
  <c r="Z35" i="2"/>
  <c r="Z27" i="2"/>
  <c r="Z23" i="7" s="1"/>
  <c r="Z30" i="2"/>
  <c r="Z8" i="3" l="1"/>
  <c r="Z6" i="3"/>
  <c r="Z31" i="2"/>
  <c r="Z5" i="3"/>
  <c r="Z10" i="3"/>
  <c r="Z9" i="3"/>
  <c r="Z7" i="3"/>
  <c r="AA25" i="2"/>
  <c r="Z6" i="1"/>
  <c r="Z36" i="2"/>
  <c r="AA22" i="2"/>
  <c r="C28" i="1"/>
  <c r="C21" i="1"/>
  <c r="Z5" i="7"/>
  <c r="Z16" i="7"/>
  <c r="Z5" i="1"/>
  <c r="Z13" i="6"/>
  <c r="Z15" i="6" s="1"/>
  <c r="Z26" i="5"/>
  <c r="Y7" i="6"/>
  <c r="Y12" i="1"/>
  <c r="Y22" i="3"/>
  <c r="Y23" i="3" s="1"/>
  <c r="Y8" i="6"/>
  <c r="Y221" i="10"/>
  <c r="Y21" i="5"/>
  <c r="Y22" i="5" s="1"/>
  <c r="Y223" i="10"/>
  <c r="Y13" i="6" l="1"/>
  <c r="Y15" i="6" s="1"/>
  <c r="Y17" i="6" s="1"/>
  <c r="Y26" i="5"/>
  <c r="AA26" i="2"/>
  <c r="AA23" i="2"/>
  <c r="AA34" i="2"/>
  <c r="Y9" i="6"/>
  <c r="C23" i="1"/>
  <c r="Y13" i="1"/>
  <c r="Z5" i="6"/>
  <c r="Z11" i="3"/>
  <c r="Z20" i="3" s="1"/>
  <c r="Z9" i="1"/>
  <c r="Z32" i="2"/>
  <c r="Z10" i="1" s="1"/>
  <c r="Z7" i="6" l="1"/>
  <c r="Z12" i="1"/>
  <c r="Z22" i="3"/>
  <c r="Z23" i="3" s="1"/>
  <c r="Z13" i="1" s="1"/>
  <c r="Y15" i="1"/>
  <c r="C24" i="1"/>
  <c r="Y34" i="1"/>
  <c r="C41" i="1"/>
  <c r="Y20" i="6"/>
  <c r="Y18" i="6"/>
  <c r="AA27" i="2"/>
  <c r="AA30" i="2"/>
  <c r="Z8" i="6"/>
  <c r="Z17" i="6" s="1"/>
  <c r="Z18" i="6"/>
  <c r="Z16" i="1" s="1"/>
  <c r="AA23" i="7"/>
  <c r="AA20" i="5"/>
  <c r="AA22" i="5" s="1"/>
  <c r="AA35" i="2"/>
  <c r="AA13" i="6" l="1"/>
  <c r="AA15" i="6" s="1"/>
  <c r="AA26" i="5"/>
  <c r="Z15" i="1"/>
  <c r="Z34" i="1"/>
  <c r="C25" i="1"/>
  <c r="Y16" i="1"/>
  <c r="Z9" i="6"/>
  <c r="AA5" i="7"/>
  <c r="AA16" i="7"/>
  <c r="AA5" i="1"/>
  <c r="AA28" i="2"/>
  <c r="AA36" i="2" s="1"/>
  <c r="Y21" i="6"/>
  <c r="Z20" i="6"/>
  <c r="Y35" i="1"/>
  <c r="AB22" i="2"/>
  <c r="Z21" i="6" l="1"/>
  <c r="Z35" i="1"/>
  <c r="C40" i="1"/>
  <c r="Y36" i="1"/>
  <c r="Y37" i="1" s="1"/>
  <c r="C42" i="1"/>
  <c r="AA6" i="3"/>
  <c r="AA31" i="2"/>
  <c r="AA5" i="3"/>
  <c r="AA10" i="3"/>
  <c r="AA9" i="3"/>
  <c r="AA8" i="3"/>
  <c r="AB25" i="2"/>
  <c r="AA6" i="1"/>
  <c r="AA7" i="3"/>
  <c r="AB23" i="2"/>
  <c r="AB34" i="2"/>
  <c r="AB26" i="2" l="1"/>
  <c r="AB27" i="2"/>
  <c r="AB28" i="2" s="1"/>
  <c r="AB30" i="2"/>
  <c r="AA5" i="6"/>
  <c r="AA11" i="3"/>
  <c r="AA20" i="3" s="1"/>
  <c r="AA32" i="2"/>
  <c r="AA10" i="1" s="1"/>
  <c r="AA9" i="1"/>
  <c r="AB23" i="7"/>
  <c r="AB20" i="5"/>
  <c r="AB35" i="2"/>
  <c r="Z36" i="1"/>
  <c r="Z37" i="1" s="1"/>
  <c r="AA7" i="6" l="1"/>
  <c r="AA12" i="1"/>
  <c r="AA22" i="3"/>
  <c r="AA23" i="3" s="1"/>
  <c r="AA13" i="1" s="1"/>
  <c r="AB6" i="3"/>
  <c r="AB31" i="2"/>
  <c r="AB5" i="3"/>
  <c r="AB10" i="3"/>
  <c r="AB9" i="3"/>
  <c r="AB8" i="3"/>
  <c r="AB7" i="3"/>
  <c r="AC25" i="2"/>
  <c r="AB6" i="1"/>
  <c r="AC22" i="2"/>
  <c r="AB36" i="2"/>
  <c r="AA8" i="6"/>
  <c r="AA17" i="6" s="1"/>
  <c r="AA18" i="6"/>
  <c r="AA16" i="1" s="1"/>
  <c r="AB16" i="7"/>
  <c r="AB5" i="7"/>
  <c r="AB5" i="1"/>
  <c r="AC23" i="2" l="1"/>
  <c r="AC34" i="2"/>
  <c r="AC26" i="2"/>
  <c r="AB219" i="10"/>
  <c r="AB220" i="10" s="1"/>
  <c r="AB5" i="6"/>
  <c r="AB11" i="3"/>
  <c r="AB20" i="3" s="1"/>
  <c r="AB32" i="2"/>
  <c r="AB10" i="1" s="1"/>
  <c r="AB9" i="1"/>
  <c r="AA15" i="1"/>
  <c r="AA34" i="1"/>
  <c r="AA20" i="6"/>
  <c r="AA9" i="6"/>
  <c r="AB7" i="6" l="1"/>
  <c r="AB12" i="1"/>
  <c r="AB22" i="3"/>
  <c r="AB23" i="3" s="1"/>
  <c r="AB13" i="1" s="1"/>
  <c r="AB221" i="10"/>
  <c r="AB21" i="5"/>
  <c r="AB22" i="5" s="1"/>
  <c r="AB223" i="10"/>
  <c r="AA21" i="6"/>
  <c r="AA35" i="1"/>
  <c r="AB8" i="6"/>
  <c r="AB9" i="6" s="1"/>
  <c r="AC20" i="5"/>
  <c r="AC22" i="5" s="1"/>
  <c r="AC23" i="7"/>
  <c r="AC35" i="2"/>
  <c r="AC27" i="2"/>
  <c r="AC30" i="2"/>
  <c r="AC13" i="6" l="1"/>
  <c r="AC15" i="6" s="1"/>
  <c r="AC26" i="5"/>
  <c r="AB13" i="6"/>
  <c r="AB15" i="6" s="1"/>
  <c r="AB26" i="5"/>
  <c r="AD22" i="2"/>
  <c r="AC16" i="7"/>
  <c r="AC5" i="7"/>
  <c r="AC5" i="1"/>
  <c r="AC28" i="2"/>
  <c r="AC36" i="2" s="1"/>
  <c r="AB17" i="6"/>
  <c r="AA36" i="1"/>
  <c r="AA37" i="1" s="1"/>
  <c r="AB34" i="1" l="1"/>
  <c r="AB15" i="1"/>
  <c r="AB18" i="6"/>
  <c r="AB16" i="1" s="1"/>
  <c r="AB20" i="6"/>
  <c r="AD23" i="2"/>
  <c r="AD34" i="2"/>
  <c r="AC10" i="3"/>
  <c r="AC31" i="2"/>
  <c r="AC5" i="3"/>
  <c r="AC9" i="3"/>
  <c r="AC8" i="3"/>
  <c r="AC7" i="3"/>
  <c r="AC6" i="1"/>
  <c r="AD25" i="2"/>
  <c r="AC6" i="3"/>
  <c r="AD20" i="5" l="1"/>
  <c r="AD22" i="5" s="1"/>
  <c r="AD35" i="2"/>
  <c r="AD26" i="2"/>
  <c r="AC5" i="6"/>
  <c r="AC11" i="3"/>
  <c r="AC20" i="3" s="1"/>
  <c r="AC32" i="2"/>
  <c r="AC10" i="1" s="1"/>
  <c r="AC9" i="1"/>
  <c r="AD30" i="2"/>
  <c r="AD27" i="2"/>
  <c r="AD28" i="2" s="1"/>
  <c r="AB21" i="6"/>
  <c r="AB35" i="1"/>
  <c r="AD31" i="2" l="1"/>
  <c r="AD5" i="3"/>
  <c r="AD10" i="3"/>
  <c r="AD9" i="3"/>
  <c r="AD8" i="3"/>
  <c r="AD7" i="3"/>
  <c r="AE25" i="2"/>
  <c r="AD6" i="3"/>
  <c r="AD6" i="1"/>
  <c r="AC7" i="6"/>
  <c r="AC8" i="6" s="1"/>
  <c r="AC12" i="1"/>
  <c r="AC22" i="3"/>
  <c r="AC23" i="3" s="1"/>
  <c r="AC13" i="1" s="1"/>
  <c r="AB36" i="1"/>
  <c r="AB37" i="1" s="1"/>
  <c r="AD13" i="6"/>
  <c r="AD15" i="6" s="1"/>
  <c r="AD26" i="5"/>
  <c r="AD16" i="7"/>
  <c r="AD5" i="7"/>
  <c r="AD5" i="1"/>
  <c r="AE22" i="2"/>
  <c r="AD36" i="2"/>
  <c r="AD23" i="7"/>
  <c r="AC17" i="6" l="1"/>
  <c r="AC9" i="6"/>
  <c r="AE26" i="2"/>
  <c r="AE23" i="2"/>
  <c r="AE34" i="2"/>
  <c r="AD5" i="6"/>
  <c r="AD11" i="3"/>
  <c r="AD20" i="3" s="1"/>
  <c r="AD32" i="2"/>
  <c r="AD10" i="1" s="1"/>
  <c r="AD9" i="1"/>
  <c r="AD7" i="6" l="1"/>
  <c r="AD12" i="1"/>
  <c r="AD22" i="3"/>
  <c r="AD23" i="3" s="1"/>
  <c r="AD13" i="1" s="1"/>
  <c r="AD8" i="6"/>
  <c r="AD17" i="6" s="1"/>
  <c r="AD18" i="6" s="1"/>
  <c r="AD16" i="1" s="1"/>
  <c r="AE30" i="2"/>
  <c r="AE27" i="2"/>
  <c r="AE23" i="7"/>
  <c r="AE20" i="5"/>
  <c r="AE35" i="2"/>
  <c r="AC34" i="1"/>
  <c r="AC15" i="1"/>
  <c r="AC20" i="6"/>
  <c r="AC18" i="6"/>
  <c r="AC16" i="1" s="1"/>
  <c r="AC21" i="6" l="1"/>
  <c r="AD20" i="6"/>
  <c r="AC35" i="1"/>
  <c r="AE5" i="7"/>
  <c r="AE16" i="7"/>
  <c r="AE5" i="1"/>
  <c r="AE28" i="2"/>
  <c r="AD9" i="6"/>
  <c r="AF22" i="2"/>
  <c r="AE36" i="2"/>
  <c r="AD15" i="1"/>
  <c r="AD34" i="1"/>
  <c r="AF23" i="2" l="1"/>
  <c r="AF34" i="2"/>
  <c r="AE7" i="3"/>
  <c r="AE5" i="3"/>
  <c r="AE10" i="3"/>
  <c r="AE9" i="3"/>
  <c r="AE8" i="3"/>
  <c r="AF25" i="2"/>
  <c r="AE6" i="3"/>
  <c r="AE6" i="1"/>
  <c r="AE31" i="2"/>
  <c r="AD21" i="6"/>
  <c r="AD36" i="1" s="1"/>
  <c r="AD37" i="1" s="1"/>
  <c r="AD35" i="1"/>
  <c r="AC36" i="1"/>
  <c r="AC37" i="1" s="1"/>
  <c r="AE219" i="10" l="1"/>
  <c r="AE220" i="10" s="1"/>
  <c r="AE5" i="6"/>
  <c r="AE11" i="3"/>
  <c r="AE32" i="2"/>
  <c r="AE10" i="1" s="1"/>
  <c r="AE9" i="1"/>
  <c r="AF26" i="2"/>
  <c r="AF28" i="2" s="1"/>
  <c r="AF20" i="5"/>
  <c r="AF22" i="5" s="1"/>
  <c r="AF35" i="2"/>
  <c r="AE20" i="3"/>
  <c r="AF27" i="2"/>
  <c r="AF23" i="7" s="1"/>
  <c r="AF30" i="2"/>
  <c r="AF10" i="3" l="1"/>
  <c r="AF5" i="3"/>
  <c r="AF9" i="3"/>
  <c r="AF8" i="3"/>
  <c r="AF7" i="3"/>
  <c r="AG25" i="2"/>
  <c r="AF31" i="2"/>
  <c r="AF6" i="3"/>
  <c r="AF6" i="1"/>
  <c r="AE7" i="6"/>
  <c r="AE8" i="6" s="1"/>
  <c r="AE12" i="1"/>
  <c r="AF13" i="6"/>
  <c r="AF15" i="6" s="1"/>
  <c r="AF26" i="5"/>
  <c r="AE22" i="3"/>
  <c r="AE23" i="3" s="1"/>
  <c r="AE13" i="1" s="1"/>
  <c r="AF5" i="7"/>
  <c r="AF16" i="7"/>
  <c r="AF5" i="1"/>
  <c r="AG22" i="2"/>
  <c r="AF36" i="2"/>
  <c r="AE221" i="10"/>
  <c r="AE21" i="5"/>
  <c r="AE22" i="5" s="1"/>
  <c r="AE223" i="10"/>
  <c r="AE9" i="6" l="1"/>
  <c r="AE13" i="6"/>
  <c r="AE15" i="6" s="1"/>
  <c r="AE17" i="6" s="1"/>
  <c r="AE26" i="5"/>
  <c r="AG23" i="2"/>
  <c r="AG34" i="2"/>
  <c r="AF5" i="6"/>
  <c r="AF11" i="3"/>
  <c r="AF20" i="3" s="1"/>
  <c r="AF32" i="2"/>
  <c r="AF10" i="1" s="1"/>
  <c r="AF9" i="1"/>
  <c r="AG26" i="2"/>
  <c r="AF7" i="6" l="1"/>
  <c r="AF12" i="1"/>
  <c r="AF22" i="3"/>
  <c r="AF23" i="3" s="1"/>
  <c r="AF13" i="1" s="1"/>
  <c r="AE15" i="1"/>
  <c r="AE34" i="1"/>
  <c r="AE20" i="6"/>
  <c r="AE18" i="6"/>
  <c r="AE16" i="1" s="1"/>
  <c r="AG23" i="7"/>
  <c r="AG20" i="5"/>
  <c r="AG22" i="5" s="1"/>
  <c r="AG35" i="2"/>
  <c r="AF8" i="6"/>
  <c r="AF17" i="6" s="1"/>
  <c r="AF18" i="6" s="1"/>
  <c r="AF16" i="1" s="1"/>
  <c r="AG30" i="2"/>
  <c r="AG27" i="2"/>
  <c r="AH22" i="2" l="1"/>
  <c r="AG13" i="6"/>
  <c r="AG15" i="6" s="1"/>
  <c r="AG26" i="5"/>
  <c r="AF20" i="6"/>
  <c r="AE21" i="6"/>
  <c r="AE35" i="1"/>
  <c r="AF34" i="1"/>
  <c r="AF15" i="1"/>
  <c r="AF9" i="6"/>
  <c r="AG16" i="7"/>
  <c r="AG5" i="7"/>
  <c r="AG5" i="1"/>
  <c r="AG28" i="2"/>
  <c r="AG5" i="3" l="1"/>
  <c r="AG9" i="3"/>
  <c r="AG10" i="3"/>
  <c r="AG8" i="3"/>
  <c r="AG7" i="3"/>
  <c r="AH25" i="2"/>
  <c r="AG6" i="3"/>
  <c r="AG31" i="2"/>
  <c r="AG6" i="1"/>
  <c r="AF21" i="6"/>
  <c r="AF36" i="1" s="1"/>
  <c r="AF37" i="1" s="1"/>
  <c r="AF35" i="1"/>
  <c r="AE36" i="1"/>
  <c r="AE37" i="1" s="1"/>
  <c r="AH23" i="2"/>
  <c r="AH34" i="2"/>
  <c r="AG36" i="2"/>
  <c r="AH30" i="2" l="1"/>
  <c r="AH27" i="2"/>
  <c r="AH26" i="2"/>
  <c r="AH28" i="2" s="1"/>
  <c r="AH20" i="5"/>
  <c r="AH23" i="7"/>
  <c r="AH35" i="2"/>
  <c r="AG5" i="6"/>
  <c r="AG11" i="3"/>
  <c r="AG20" i="3" s="1"/>
  <c r="AG32" i="2"/>
  <c r="AG10" i="1" s="1"/>
  <c r="AG9" i="1"/>
  <c r="AG7" i="6" l="1"/>
  <c r="AG12" i="1"/>
  <c r="AG22" i="3"/>
  <c r="AG23" i="3" s="1"/>
  <c r="AG13" i="1" s="1"/>
  <c r="AH9" i="3"/>
  <c r="AH10" i="3"/>
  <c r="AH8" i="3"/>
  <c r="AH7" i="3"/>
  <c r="AI25" i="2"/>
  <c r="AH6" i="3"/>
  <c r="AH6" i="1"/>
  <c r="AH5" i="3"/>
  <c r="AH31" i="2"/>
  <c r="AG8" i="6"/>
  <c r="AG17" i="6" s="1"/>
  <c r="AG18" i="6" s="1"/>
  <c r="AG16" i="1" s="1"/>
  <c r="AI22" i="2"/>
  <c r="AH36" i="2"/>
  <c r="AH5" i="7"/>
  <c r="AH16" i="7"/>
  <c r="AH5" i="1"/>
  <c r="AI23" i="2" l="1"/>
  <c r="AI34" i="2"/>
  <c r="AH219" i="10"/>
  <c r="AH220" i="10" s="1"/>
  <c r="AH5" i="6"/>
  <c r="AH11" i="3"/>
  <c r="AH20" i="3" s="1"/>
  <c r="AH32" i="2"/>
  <c r="AH10" i="1" s="1"/>
  <c r="AH9" i="1"/>
  <c r="AI26" i="2"/>
  <c r="AG9" i="6"/>
  <c r="AG34" i="1"/>
  <c r="AG15" i="1"/>
  <c r="AG20" i="6"/>
  <c r="AH7" i="6" l="1"/>
  <c r="AH12" i="1"/>
  <c r="AH22" i="3"/>
  <c r="AH23" i="3" s="1"/>
  <c r="AH13" i="1" s="1"/>
  <c r="AH221" i="10"/>
  <c r="AH21" i="5"/>
  <c r="AH22" i="5" s="1"/>
  <c r="AH223" i="10"/>
  <c r="AG21" i="6"/>
  <c r="AG36" i="1" s="1"/>
  <c r="AG37" i="1" s="1"/>
  <c r="AG35" i="1"/>
  <c r="AH8" i="6"/>
  <c r="AI20" i="5"/>
  <c r="AI22" i="5" s="1"/>
  <c r="AI23" i="7"/>
  <c r="AI35" i="2"/>
  <c r="AI27" i="2"/>
  <c r="AI30" i="2"/>
  <c r="AJ22" i="2" l="1"/>
  <c r="AH9" i="6"/>
  <c r="AH13" i="6"/>
  <c r="AH15" i="6" s="1"/>
  <c r="AH17" i="6" s="1"/>
  <c r="AH26" i="5"/>
  <c r="AI13" i="6"/>
  <c r="AI15" i="6" s="1"/>
  <c r="AI26" i="5"/>
  <c r="AI16" i="7"/>
  <c r="AI5" i="7"/>
  <c r="AI5" i="1"/>
  <c r="AI28" i="2"/>
  <c r="AI36" i="2" s="1"/>
  <c r="AH34" i="1" l="1"/>
  <c r="AH15" i="1"/>
  <c r="AH18" i="6"/>
  <c r="AH16" i="1" s="1"/>
  <c r="AH20" i="6"/>
  <c r="AI10" i="3"/>
  <c r="AI9" i="3"/>
  <c r="AI8" i="3"/>
  <c r="AI7" i="3"/>
  <c r="AJ25" i="2"/>
  <c r="AI6" i="3"/>
  <c r="AI5" i="3"/>
  <c r="AI31" i="2"/>
  <c r="AI6" i="1"/>
  <c r="AJ23" i="2"/>
  <c r="AJ34" i="2"/>
  <c r="AJ27" i="2" l="1"/>
  <c r="AJ30" i="2"/>
  <c r="AI5" i="6"/>
  <c r="AI11" i="3"/>
  <c r="AI20" i="3" s="1"/>
  <c r="AI32" i="2"/>
  <c r="AI10" i="1" s="1"/>
  <c r="AI9" i="1"/>
  <c r="AJ26" i="2"/>
  <c r="AJ28" i="2" s="1"/>
  <c r="AH21" i="6"/>
  <c r="AH36" i="1" s="1"/>
  <c r="AH37" i="1" s="1"/>
  <c r="AH35" i="1"/>
  <c r="AJ20" i="5"/>
  <c r="AJ22" i="5" s="1"/>
  <c r="AJ23" i="7"/>
  <c r="AJ35" i="2"/>
  <c r="AJ10" i="3" l="1"/>
  <c r="AJ9" i="3"/>
  <c r="AJ8" i="3"/>
  <c r="AJ7" i="3"/>
  <c r="AJ6" i="3"/>
  <c r="AJ31" i="2"/>
  <c r="AJ5" i="3"/>
  <c r="AJ6" i="1"/>
  <c r="AK25" i="2"/>
  <c r="AI7" i="6"/>
  <c r="AI12" i="1"/>
  <c r="AI22" i="3"/>
  <c r="AI23" i="3" s="1"/>
  <c r="AI13" i="1" s="1"/>
  <c r="AJ13" i="6"/>
  <c r="AJ15" i="6" s="1"/>
  <c r="AJ26" i="5"/>
  <c r="AI8" i="6"/>
  <c r="AI17" i="6" s="1"/>
  <c r="AJ16" i="7"/>
  <c r="AJ5" i="7"/>
  <c r="AJ5" i="1"/>
  <c r="AK22" i="2"/>
  <c r="AJ36" i="2"/>
  <c r="AK26" i="2" l="1"/>
  <c r="AK23" i="2"/>
  <c r="AK34" i="2"/>
  <c r="AI34" i="1"/>
  <c r="AI15" i="1"/>
  <c r="AI20" i="6"/>
  <c r="AI9" i="6"/>
  <c r="AJ5" i="6"/>
  <c r="AJ11" i="3"/>
  <c r="AJ20" i="3" s="1"/>
  <c r="AJ32" i="2"/>
  <c r="AJ10" i="1" s="1"/>
  <c r="AJ9" i="1"/>
  <c r="AI18" i="6"/>
  <c r="AI16" i="1" s="1"/>
  <c r="AJ7" i="6" l="1"/>
  <c r="AJ12" i="1"/>
  <c r="AJ22" i="3"/>
  <c r="AJ23" i="3" s="1"/>
  <c r="AJ13" i="1" s="1"/>
  <c r="AJ8" i="6"/>
  <c r="AJ17" i="6" s="1"/>
  <c r="AJ20" i="6"/>
  <c r="AI21" i="6"/>
  <c r="AI36" i="1" s="1"/>
  <c r="AI37" i="1" s="1"/>
  <c r="AI35" i="1"/>
  <c r="AK20" i="5"/>
  <c r="AK35" i="2"/>
  <c r="AK30" i="2"/>
  <c r="AK27" i="2"/>
  <c r="AK23" i="7" s="1"/>
  <c r="AJ21" i="6" l="1"/>
  <c r="AJ36" i="1" s="1"/>
  <c r="AJ37" i="1" s="1"/>
  <c r="AJ35" i="1"/>
  <c r="AK5" i="7"/>
  <c r="AK16" i="7"/>
  <c r="AK5" i="1"/>
  <c r="AL22" i="2"/>
  <c r="D27" i="1"/>
  <c r="AJ34" i="1"/>
  <c r="AJ15" i="1"/>
  <c r="AJ9" i="6"/>
  <c r="AJ18" i="6"/>
  <c r="AJ16" i="1" s="1"/>
  <c r="AK28" i="2"/>
  <c r="AK36" i="2" s="1"/>
  <c r="AL23" i="2" l="1"/>
  <c r="AL34" i="2"/>
  <c r="AK9" i="3"/>
  <c r="AK10" i="3"/>
  <c r="AK8" i="3"/>
  <c r="AK7" i="3"/>
  <c r="AL25" i="2"/>
  <c r="AK6" i="3"/>
  <c r="AK31" i="2"/>
  <c r="AK5" i="3"/>
  <c r="AK6" i="1"/>
  <c r="D22" i="1" s="1"/>
  <c r="AK219" i="10" l="1"/>
  <c r="AK220" i="10" s="1"/>
  <c r="AK5" i="6"/>
  <c r="AK11" i="3"/>
  <c r="AK20" i="3" s="1"/>
  <c r="AK32" i="2"/>
  <c r="AK10" i="1" s="1"/>
  <c r="AK9" i="1"/>
  <c r="AL26" i="2"/>
  <c r="AL28" i="2" s="1"/>
  <c r="AL20" i="5"/>
  <c r="AL22" i="5" s="1"/>
  <c r="AL35" i="2"/>
  <c r="AL27" i="2"/>
  <c r="AL30" i="2"/>
  <c r="AL8" i="3" l="1"/>
  <c r="AL9" i="3"/>
  <c r="AL7" i="3"/>
  <c r="AL6" i="3"/>
  <c r="AL31" i="2"/>
  <c r="AL5" i="3"/>
  <c r="AK7" i="6"/>
  <c r="AK12" i="1"/>
  <c r="AK22" i="3"/>
  <c r="AK23" i="3" s="1"/>
  <c r="D28" i="1"/>
  <c r="D21" i="1"/>
  <c r="AL36" i="2"/>
  <c r="AM22" i="2"/>
  <c r="AM23" i="2" s="1"/>
  <c r="AK8" i="6"/>
  <c r="AK221" i="10"/>
  <c r="AK223" i="10"/>
  <c r="AK21" i="5"/>
  <c r="AK22" i="5" s="1"/>
  <c r="AK9" i="6" l="1"/>
  <c r="D23" i="1"/>
  <c r="AK13" i="1"/>
  <c r="AL5" i="6"/>
  <c r="AL11" i="3"/>
  <c r="AL23" i="3"/>
  <c r="AL32" i="2"/>
  <c r="AL22" i="3"/>
  <c r="AK13" i="6"/>
  <c r="AK15" i="6" s="1"/>
  <c r="AK17" i="6" s="1"/>
  <c r="AK26" i="5"/>
  <c r="D24" i="1" l="1"/>
  <c r="AK15" i="1"/>
  <c r="AK34" i="1"/>
  <c r="D41" i="1"/>
  <c r="AK20" i="6"/>
  <c r="AK18" i="6"/>
  <c r="AK16" i="1" l="1"/>
  <c r="D25" i="1"/>
  <c r="AK21" i="6"/>
  <c r="AK35" i="1"/>
  <c r="D40" i="1" l="1"/>
  <c r="F31" i="1"/>
  <c r="AK36" i="1"/>
  <c r="AK37" i="1" s="1"/>
  <c r="B22" i="6"/>
  <c r="D31" i="1" s="1"/>
  <c r="D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Sean Weiss:
Launch month founder deals from network push</t>
        </r>
      </text>
    </comment>
    <comment ref="E11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Sean Weiss:
No referrals yet in M4</t>
        </r>
      </text>
    </comment>
    <comment ref="E16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Sean Weiss:
Previous month ending seats</t>
        </r>
      </text>
    </comment>
    <comment ref="E18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Sean Weiss:
Churned = Previous × Churn Rate</t>
        </r>
      </text>
    </comment>
    <comment ref="E19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Sean Weiss:
New Seats = Total from Acquisition Drivers</t>
        </r>
      </text>
    </comment>
    <comment ref="E20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Sean Weiss:
Active EOP = Previous - Churned + New</t>
        </r>
      </text>
    </comment>
    <comment ref="E21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Sean Weiss:
Effective Paid = Active × Paid Factor</t>
        </r>
      </text>
    </comment>
    <comment ref="E22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Sean Weiss:
Cumulative Active Accounts</t>
        </r>
      </text>
    </comment>
    <comment ref="E24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Sean Weiss:
MRR = Effective Paid Seats × Rate</t>
        </r>
      </text>
    </comment>
    <comment ref="A25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Sean Weiss:
ARR = MRR × 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COGS Audit</author>
  </authors>
  <commentList>
    <comment ref="C70" authorId="0" shapeId="0" xr:uid="{00000000-0006-0000-0900-000001000000}">
      <text>
        <r>
          <rPr>
            <sz val="11"/>
            <color theme="1"/>
            <rFont val="Calibri"/>
            <family val="2"/>
            <charset val="1"/>
          </rPr>
          <t>UPDATED: $249 matches Helius Business tier pricing</t>
        </r>
      </text>
    </comment>
    <comment ref="B71" authorId="0" shapeId="0" xr:uid="{00000000-0006-0000-0900-000002000000}">
      <text>
        <r>
          <rPr>
            <sz val="11"/>
            <color theme="1"/>
            <rFont val="Calibri"/>
            <family val="2"/>
            <charset val="1"/>
          </rPr>
          <t>UPDATED: $0 via Datadog Startup Program ($100K credits)</t>
        </r>
      </text>
    </comment>
    <comment ref="B73" authorId="0" shapeId="0" xr:uid="{00000000-0006-0000-0900-000003000000}">
      <text>
        <r>
          <rPr>
            <sz val="11"/>
            <color theme="1"/>
            <rFont val="Calibri"/>
            <family val="2"/>
            <charset val="1"/>
          </rPr>
          <t>Early Stage Program: 93% off ($65/mo vs $903 list)</t>
        </r>
      </text>
    </comment>
    <comment ref="C73" authorId="0" shapeId="0" xr:uid="{00000000-0006-0000-0900-000004000000}">
      <text>
        <r>
          <rPr>
            <sz val="11"/>
            <color theme="1"/>
            <rFont val="Calibri"/>
            <family val="2"/>
            <charset val="1"/>
          </rPr>
          <t>Early Stage Program: 50% off (~$450/mo)</t>
        </r>
      </text>
    </comment>
    <comment ref="D73" authorId="0" shapeId="0" xr:uid="{00000000-0006-0000-0900-000005000000}">
      <text>
        <r>
          <rPr>
            <sz val="11"/>
            <color theme="1"/>
            <rFont val="Calibri"/>
            <family val="2"/>
            <charset val="1"/>
          </rPr>
          <t>Early Stage Program: 25% off (~$675/mo)</t>
        </r>
      </text>
    </comment>
  </commentList>
</comments>
</file>

<file path=xl/sharedStrings.xml><?xml version="1.0" encoding="utf-8"?>
<sst xmlns="http://schemas.openxmlformats.org/spreadsheetml/2006/main" count="1385" uniqueCount="828">
  <si>
    <t>EXECUTIVE SUMMARY - 36-MONTH PROJECTION</t>
  </si>
  <si>
    <t>Metric</t>
  </si>
  <si>
    <t>Y1M1</t>
  </si>
  <si>
    <t>Y1M2</t>
  </si>
  <si>
    <t>Y1M3</t>
  </si>
  <si>
    <t>Y1M4</t>
  </si>
  <si>
    <t>Y1M5</t>
  </si>
  <si>
    <t>Y1M6</t>
  </si>
  <si>
    <t>Y1M7</t>
  </si>
  <si>
    <t>Y1M8</t>
  </si>
  <si>
    <t>Y1M9</t>
  </si>
  <si>
    <t>Y1M10</t>
  </si>
  <si>
    <t>Y1M11</t>
  </si>
  <si>
    <t>Y1M12</t>
  </si>
  <si>
    <t>Y2M1</t>
  </si>
  <si>
    <t>Y2M2</t>
  </si>
  <si>
    <t>Y2M3</t>
  </si>
  <si>
    <t>Y2M4</t>
  </si>
  <si>
    <t>Y2M5</t>
  </si>
  <si>
    <t>Y2M6</t>
  </si>
  <si>
    <t>Y2M7</t>
  </si>
  <si>
    <t>Y2M8</t>
  </si>
  <si>
    <t>Y2M9</t>
  </si>
  <si>
    <t>Y2M10</t>
  </si>
  <si>
    <t>Y2M11</t>
  </si>
  <si>
    <t>Y2M12</t>
  </si>
  <si>
    <t>Y3M1</t>
  </si>
  <si>
    <t>Y3M2</t>
  </si>
  <si>
    <t>Y3M3</t>
  </si>
  <si>
    <t>Y3M4</t>
  </si>
  <si>
    <t>Y3M5</t>
  </si>
  <si>
    <t>Y3M6</t>
  </si>
  <si>
    <t>Y3M7</t>
  </si>
  <si>
    <t>Y3M8</t>
  </si>
  <si>
    <t>Y3M9</t>
  </si>
  <si>
    <t>Y3M10</t>
  </si>
  <si>
    <t>Y3M11</t>
  </si>
  <si>
    <t>Y3M12</t>
  </si>
  <si>
    <t>SEAT AND ACCOUNT GROWTH</t>
  </si>
  <si>
    <t>New Seats</t>
  </si>
  <si>
    <t>Active Seats (EOP)</t>
  </si>
  <si>
    <t>REVENUE</t>
  </si>
  <si>
    <t>MRR</t>
  </si>
  <si>
    <t>ARR (MRR x 12)</t>
  </si>
  <si>
    <t>UNIT ECONOMICS</t>
  </si>
  <si>
    <t>Total COGS</t>
  </si>
  <si>
    <t>Gross Margin %</t>
  </si>
  <si>
    <t>PROFITABILITY</t>
  </si>
  <si>
    <t>EBITDA</t>
  </si>
  <si>
    <t>EBITDA Margin %</t>
  </si>
  <si>
    <t>Headcount</t>
  </si>
  <si>
    <t>ANNUAL SUMMARY</t>
  </si>
  <si>
    <t>Year 1</t>
  </si>
  <si>
    <t>Year 2</t>
  </si>
  <si>
    <t>Year 3</t>
  </si>
  <si>
    <t>Ending ARR</t>
  </si>
  <si>
    <t>Ending Seats</t>
  </si>
  <si>
    <t>Ending EBITDA</t>
  </si>
  <si>
    <t>Ending Headcount</t>
  </si>
  <si>
    <t>New Accounts (Year)</t>
  </si>
  <si>
    <t>YoY ARR Growth %</t>
  </si>
  <si>
    <t>N/A</t>
  </si>
  <si>
    <t>CASH &amp; RUNWAY</t>
  </si>
  <si>
    <t>Seed Funding</t>
  </si>
  <si>
    <t>Runway (Months)</t>
  </si>
  <si>
    <t>Ending Cash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</si>
  <si>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</si>
  <si>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</si>
  <si>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</si>
  <si>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</si>
  <si>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</si>
  <si>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</si>
  <si>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</si>
  <si>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</si>
  <si>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</si>
  <si>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</si>
  <si>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</si>
  <si>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</si>
  <si>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</si>
  <si>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</si>
  <si>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</si>
  <si>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</si>
  <si>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</si>
  <si>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</si>
  <si>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</si>
  <si>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</si>
  <si>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</si>
  <si>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</si>
  <si>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</si>
  <si>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</si>
  <si>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</si>
  <si>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</si>
  <si>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</si>
  <si>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</si>
  <si>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</si>
  <si>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</si>
  <si>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</si>
  <si>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</si>
  <si>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</si>
  <si>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</si>
  <si>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</si>
  <si>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</si>
  <si>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</si>
  <si>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Monthly EBITDA</t>
  </si>
  <si>
    <t>Cumulative EBITDA</t>
  </si>
  <si>
    <t>Cash Position</t>
  </si>
  <si>
    <t>Status</t>
  </si>
  <si>
    <t>YEAR-END SUMMARY</t>
  </si>
  <si>
    <t>Y1 (M12)</t>
  </si>
  <si>
    <t>Y2 (M24)</t>
  </si>
  <si>
    <t>Y3 (M36)</t>
  </si>
  <si>
    <t>Year-End Cash</t>
  </si>
  <si>
    <t>Year Cash Burn</t>
  </si>
  <si>
    <t>Year Low Point</t>
  </si>
  <si>
    <t>REVENUE MODEL - 36-MONTH BOTTOM-UP</t>
  </si>
  <si>
    <t>SALES ACQUISITION (Verticals)</t>
  </si>
  <si>
    <t>Crypto/Web3 Accounts</t>
  </si>
  <si>
    <t>Crypto/Web3 Seats</t>
  </si>
  <si>
    <t>Crypto Law Accounts</t>
  </si>
  <si>
    <t>Crypto Law Seats</t>
  </si>
  <si>
    <t>Healthcare Accounts (Y2+)</t>
  </si>
  <si>
    <t>Healthcare Seats</t>
  </si>
  <si>
    <t>Family Office Accounts (Y2+)</t>
  </si>
  <si>
    <t>Family Office Seats</t>
  </si>
  <si>
    <t>General Legal Accounts (Y2+)</t>
  </si>
  <si>
    <t>General Legal Seats</t>
  </si>
  <si>
    <t>Total Sales Accounts</t>
  </si>
  <si>
    <t>Total Sales Seats</t>
  </si>
  <si>
    <t>Enterprise/MM Seats (Y2+)</t>
  </si>
  <si>
    <t>Enterprise/MM Accounts (Y2+)</t>
  </si>
  <si>
    <t>PLG Accounts</t>
  </si>
  <si>
    <t>PLG Seats</t>
  </si>
  <si>
    <t>REFERRALS</t>
  </si>
  <si>
    <t>Referral Accounts</t>
  </si>
  <si>
    <t>Referral Seats</t>
  </si>
  <si>
    <t>SEAT METRICS</t>
  </si>
  <si>
    <t>Previous Active Seats</t>
  </si>
  <si>
    <t>Churned Seats</t>
  </si>
  <si>
    <t>New Seats (Total)</t>
  </si>
  <si>
    <t>Blended Effective Rate</t>
  </si>
  <si>
    <t>ARR (MRR × 12)</t>
  </si>
  <si>
    <t>ACCOUNT METRICS</t>
  </si>
  <si>
    <t>Total New Accounts</t>
  </si>
  <si>
    <t>Cumulative Accounts</t>
  </si>
  <si>
    <t>Avg Seats/Account</t>
  </si>
  <si>
    <t>Sales MRR (excl. PLG/Referrals)</t>
  </si>
  <si>
    <t>BOTTOM-UP MODEL ASSUMPTIONS &amp; METHODOLOGY</t>
  </si>
  <si>
    <t>1. SALES CAPACITY LOGIC</t>
  </si>
  <si>
    <t>Parameter</t>
  </si>
  <si>
    <t>Value</t>
  </si>
  <si>
    <t>Rationale</t>
  </si>
  <si>
    <t>Founder Capacity</t>
  </si>
  <si>
    <t>5 deals/mo</t>
  </si>
  <si>
    <t>~50% sales focus (balance: product, fundraising, ops)</t>
  </si>
  <si>
    <t>AE Capacity</t>
  </si>
  <si>
    <t>8 deals/mo</t>
  </si>
  <si>
    <t>100% sales focus = ~$1.9M quota at $20K ACV</t>
  </si>
  <si>
    <t>Capacity Ratio</t>
  </si>
  <si>
    <t>1.6x</t>
  </si>
  <si>
    <t>AE vs Founder reflects full-time focus differential</t>
  </si>
  <si>
    <t>AE Ramp Period</t>
  </si>
  <si>
    <t>4 months</t>
  </si>
  <si>
    <t>25% → 50% → 75% → 100% capacity progression</t>
  </si>
  <si>
    <t>AE1 Start</t>
  </si>
  <si>
    <t>Hired pre-launch to hit ground running at launch</t>
  </si>
  <si>
    <t>Execution Rate</t>
  </si>
  <si>
    <t>70% → 85%</t>
  </si>
  <si>
    <t>Improves +1%/mo as sales process matures</t>
  </si>
  <si>
    <t>2. VERTICAL ALLOCATION</t>
  </si>
  <si>
    <t>Vertical</t>
  </si>
  <si>
    <t>Y1</t>
  </si>
  <si>
    <t>Y2</t>
  </si>
  <si>
    <t>Y3</t>
  </si>
  <si>
    <t>Seats/Acct</t>
  </si>
  <si>
    <t>ACV</t>
  </si>
  <si>
    <t>Crypto/Web3 (incl. FinTech)</t>
  </si>
  <si>
    <t>93%</t>
  </si>
  <si>
    <t>70%</t>
  </si>
  <si>
    <t>60%</t>
  </si>
  <si>
    <t>22→28</t>
  </si>
  <si>
    <t>$10,296</t>
  </si>
  <si>
    <t>Crypto Law</t>
  </si>
  <si>
    <t>7%</t>
  </si>
  <si>
    <t>8%</t>
  </si>
  <si>
    <t>9%</t>
  </si>
  <si>
    <t>44→60</t>
  </si>
  <si>
    <t>$20,592</t>
  </si>
  <si>
    <t>Healthcare</t>
  </si>
  <si>
    <t>0%</t>
  </si>
  <si>
    <t>10%</t>
  </si>
  <si>
    <t>12%</t>
  </si>
  <si>
    <t>15→20</t>
  </si>
  <si>
    <t>$7,020</t>
  </si>
  <si>
    <t>Family Office</t>
  </si>
  <si>
    <t>5%</t>
  </si>
  <si>
    <t>10→14</t>
  </si>
  <si>
    <t>$4,680</t>
  </si>
  <si>
    <t>General Legal</t>
  </si>
  <si>
    <t>11%</t>
  </si>
  <si>
    <t>35→45</t>
  </si>
  <si>
    <t>$16,380</t>
  </si>
  <si>
    <t>Note: FinTech (1-2%) consolidated into Crypto/Web3 for simplicity.</t>
  </si>
  <si>
    <t>FinTech/Healthcare require SOC 2 Type II &amp; HIPAA (Y2M1).</t>
  </si>
  <si>
    <t>Certifications: SOC 2 Type I, SOC 2 Type II, HIPAA — all target Y2M1.</t>
  </si>
  <si>
    <t>3. PRICING STRATEGY</t>
  </si>
  <si>
    <t>Tier</t>
  </si>
  <si>
    <t>$/Seat/Mo</t>
  </si>
  <si>
    <t>Min Seats</t>
  </si>
  <si>
    <t>Target Market</t>
  </si>
  <si>
    <t>Pro</t>
  </si>
  <si>
    <t>$9</t>
  </si>
  <si>
    <t>1</t>
  </si>
  <si>
    <t>Privacy individuals (PLG)</t>
  </si>
  <si>
    <t>Power User</t>
  </si>
  <si>
    <t>$49</t>
  </si>
  <si>
    <t>Creatives/power users (PLG)</t>
  </si>
  <si>
    <t>Scale</t>
  </si>
  <si>
    <t>$29</t>
  </si>
  <si>
    <t>2+</t>
  </si>
  <si>
    <t>SMB/boutique teams</t>
  </si>
  <si>
    <t>Mid-Market</t>
  </si>
  <si>
    <t>$39</t>
  </si>
  <si>
    <t>50+</t>
  </si>
  <si>
    <t>Sales-led, SSO/Invoicing</t>
  </si>
  <si>
    <t>Enterprise</t>
  </si>
  <si>
    <t>100+</t>
  </si>
  <si>
    <t>White glove, SLA</t>
  </si>
  <si>
    <t>Contract Mix</t>
  </si>
  <si>
    <t>50% Monthly</t>
  </si>
  <si>
    <t>15% Quarterly</t>
  </si>
  <si>
    <t>35% Annual</t>
  </si>
  <si>
    <t>Benchmark: Industry avg 40/11/42. Higher monthly reflects SMB crypto early adopters.</t>
  </si>
  <si>
    <t>4. PLG CHANNEL</t>
  </si>
  <si>
    <t>PLG Seat %</t>
  </si>
  <si>
    <t>10% of Sales</t>
  </si>
  <si>
    <t>Organic crypto maxis finding product</t>
  </si>
  <si>
    <t>PLG Tier Mix (Y1)</t>
  </si>
  <si>
    <t>80% Pro / 20% Power</t>
  </si>
  <si>
    <t>Individual users dominate early</t>
  </si>
  <si>
    <t>PLG Tier Mix (Y2)</t>
  </si>
  <si>
    <t>70% Pro / 30% Power</t>
  </si>
  <si>
    <t>Power users grow with brand</t>
  </si>
  <si>
    <t>PLG Tier Mix (Y3)</t>
  </si>
  <si>
    <t>60% Pro / 40% Power</t>
  </si>
  <si>
    <t>More power users as product matures</t>
  </si>
  <si>
    <t>Blended PLG Price</t>
  </si>
  <si>
    <t>$17→$25</t>
  </si>
  <si>
    <t>Y1 to Y3 progression</t>
  </si>
  <si>
    <t>5. REFERRAL CHANNEL</t>
  </si>
  <si>
    <t>Year</t>
  </si>
  <si>
    <t>Monthly Rate</t>
  </si>
  <si>
    <t>Annual Equiv</t>
  </si>
  <si>
    <t>Channel Mix</t>
  </si>
  <si>
    <t>0.4%</t>
  </si>
  <si>
    <t>~5%</t>
  </si>
  <si>
    <t>~2%</t>
  </si>
  <si>
    <t>0.6%</t>
  </si>
  <si>
    <t>~7%</t>
  </si>
  <si>
    <t>~8%</t>
  </si>
  <si>
    <t>0.8%</t>
  </si>
  <si>
    <t>~10%</t>
  </si>
  <si>
    <t>~19%</t>
  </si>
  <si>
    <t>Applied to cumulative account base. Referral seats match sales profile (~20/acct).</t>
  </si>
  <si>
    <t>6. CHURN ASSUMPTIONS</t>
  </si>
  <si>
    <t>Monthly Seat Churn</t>
  </si>
  <si>
    <t>2.0%</t>
  </si>
  <si>
    <t>1.5%</t>
  </si>
  <si>
    <t>1.2%</t>
  </si>
  <si>
    <t>Improves with product maturity</t>
  </si>
  <si>
    <t>Annual Equivalent</t>
  </si>
  <si>
    <t>~22%</t>
  </si>
  <si>
    <t>~17%</t>
  </si>
  <si>
    <t>~14%</t>
  </si>
  <si>
    <t>Below SMB avg (3-5% monthly)</t>
  </si>
  <si>
    <t>7. TARGET UNIT ECONOMICS</t>
  </si>
  <si>
    <t>Target</t>
  </si>
  <si>
    <t>Notes</t>
  </si>
  <si>
    <t>Gross Margin</t>
  </si>
  <si>
    <t>85%+</t>
  </si>
  <si>
    <t>IPFS infrastructure efficiency</t>
  </si>
  <si>
    <t>CAC Payback</t>
  </si>
  <si>
    <t>&lt;12 months</t>
  </si>
  <si>
    <t>Based on ACV and sales cost</t>
  </si>
  <si>
    <t>LTV:CAC</t>
  </si>
  <si>
    <t>&gt;3:1</t>
  </si>
  <si>
    <t>Healthy unit economics threshold</t>
  </si>
  <si>
    <t>Notes:</t>
  </si>
  <si>
    <t>• Quota benchmark: Mid-market AE typically $750K-$1.5M; our $1.9M justified by focused beachhead</t>
  </si>
  <si>
    <t>• Crypto law firms serve crypto clients → natural referral channel → interconnected beachhead</t>
  </si>
  <si>
    <t>• Lower churn reflects: compliance-driven stickiness, enterprise focus, ZK lock-in</t>
  </si>
  <si>
    <t>• PLG measured as % of sales SEATS, not accounts (apples-to-apples comparison)</t>
  </si>
  <si>
    <t>• All projections formula-driven from Model Inputs tab. Adjust inputs to run scenarios.</t>
  </si>
  <si>
    <t>COGS ANALYSIS - 36-MONTH DETAIL</t>
  </si>
  <si>
    <t>Component</t>
  </si>
  <si>
    <t>VARIABLE COSTS (Scale with seats)</t>
  </si>
  <si>
    <t>Storage</t>
  </si>
  <si>
    <t>Bandwidth</t>
  </si>
  <si>
    <t>Compute</t>
  </si>
  <si>
    <t>Data Replication</t>
  </si>
  <si>
    <t>Support Automation</t>
  </si>
  <si>
    <t>Blockchain Gas (SOL)</t>
  </si>
  <si>
    <t>Payment Processing (2.9%)</t>
  </si>
  <si>
    <t>STEP-FUNCTION COSTS (Tier-Based)</t>
  </si>
  <si>
    <t>Filebase Platform</t>
  </si>
  <si>
    <t>Blockchain RPC (Alchemy/Helius)</t>
  </si>
  <si>
    <t>Monitoring</t>
  </si>
  <si>
    <t>Transactional Email (SendGrid)</t>
  </si>
  <si>
    <t>TRUE FIXED COSTS</t>
  </si>
  <si>
    <t>Base Compute</t>
  </si>
  <si>
    <t>DR Infrastructure</t>
  </si>
  <si>
    <t>MARGIN ANALYSIS</t>
  </si>
  <si>
    <t>Gross Profit</t>
  </si>
  <si>
    <t>MERCURY BANKING STARTUP PERKS - INFRASTRUCTURE DISCOUNTS</t>
  </si>
  <si>
    <t>Solution</t>
  </si>
  <si>
    <t>Category</t>
  </si>
  <si>
    <t>List Price</t>
  </si>
  <si>
    <t>Our Price</t>
  </si>
  <si>
    <t>Annual Savings</t>
  </si>
  <si>
    <t>Discount</t>
  </si>
  <si>
    <t>Filebase</t>
  </si>
  <si>
    <t>IPFS Storage</t>
  </si>
  <si>
    <t>$1,200</t>
  </si>
  <si>
    <t>$0</t>
  </si>
  <si>
    <t>100%</t>
  </si>
  <si>
    <t>12-month credits via Mercury Perks</t>
  </si>
  <si>
    <t>Datadog</t>
  </si>
  <si>
    <t>$1,800</t>
  </si>
  <si>
    <t>Startup program (Y1 free)</t>
  </si>
  <si>
    <t>Alchemy</t>
  </si>
  <si>
    <t>Blockchain RPC</t>
  </si>
  <si>
    <t>$2,500</t>
  </si>
  <si>
    <t>Early Stage program (Y1-Y3 tiered)</t>
  </si>
  <si>
    <t>SendGrid</t>
  </si>
  <si>
    <t>Email</t>
  </si>
  <si>
    <t>$600</t>
  </si>
  <si>
    <t>12-month credits (backup/reserve)</t>
  </si>
  <si>
    <t>TOTAL Y1 SAVINGS</t>
  </si>
  <si>
    <t>$6,100</t>
  </si>
  <si>
    <t>Primary RPC - no discount available</t>
  </si>
  <si>
    <t>Stripe</t>
  </si>
  <si>
    <t>Payments</t>
  </si>
  <si>
    <t>2.9%</t>
  </si>
  <si>
    <t>Standard rate - no startup discount</t>
  </si>
  <si>
    <t>INFRASTRUCTURE STACK SUMMARY (Monthly)</t>
  </si>
  <si>
    <t>Storage Infrastructure</t>
  </si>
  <si>
    <t>$1,500</t>
  </si>
  <si>
    <t>$3,000</t>
  </si>
  <si>
    <t>$5,000</t>
  </si>
  <si>
    <t>Mercury credit Y1</t>
  </si>
  <si>
    <t>Alchemy → Helius</t>
  </si>
  <si>
    <t>$249</t>
  </si>
  <si>
    <t>$499</t>
  </si>
  <si>
    <t>Alchemy credit covers Y1</t>
  </si>
  <si>
    <t>$350</t>
  </si>
  <si>
    <t>Transactional Email</t>
  </si>
  <si>
    <t>$50</t>
  </si>
  <si>
    <t>$90</t>
  </si>
  <si>
    <t>Free tier Y1</t>
  </si>
  <si>
    <t>Justification</t>
  </si>
  <si>
    <t>Vercel/AWS</t>
  </si>
  <si>
    <t>$200</t>
  </si>
  <si>
    <t>$500</t>
  </si>
  <si>
    <t>Dedicated IPFS gateways, 99.9% SLA</t>
  </si>
  <si>
    <t>Multi-region</t>
  </si>
  <si>
    <t>$300</t>
  </si>
  <si>
    <t>$400</t>
  </si>
  <si>
    <t>Solana-optimized, staked connections</t>
  </si>
  <si>
    <t>MONTHLY TOTAL</t>
  </si>
  <si>
    <t>$1,900</t>
  </si>
  <si>
    <t>$4,299</t>
  </si>
  <si>
    <t>$7,089</t>
  </si>
  <si>
    <t>Startup → Pro</t>
  </si>
  <si>
    <t>APM, logs, infrastructure metrics</t>
  </si>
  <si>
    <t>Standard</t>
  </si>
  <si>
    <t>PCI compliant, subscription billing</t>
  </si>
  <si>
    <t>• Alchemy $2,500 credit replaces Helius in Y1 (both are Solana RPC providers)</t>
  </si>
  <si>
    <t>• SOL gas fees (~$0.01/seat) must be paid in SOL regardless of RPC provider</t>
  </si>
  <si>
    <t>• Blockchain Gas costs are negligible (&lt;$100/mo even at 10K seats)</t>
  </si>
  <si>
    <t>• All startup credits accessed via Mercury Banking partnership</t>
  </si>
  <si>
    <t>Note: Startup discounts accessed through Mercury Banking startup perks program. Credits and discounts verified as of December 2024.</t>
  </si>
  <si>
    <t>STAFFING PLAN - 36-MONTH DETAIL</t>
  </si>
  <si>
    <t>Role</t>
  </si>
  <si>
    <t>Dept</t>
  </si>
  <si>
    <t>Annual Salary</t>
  </si>
  <si>
    <t>Start Month</t>
  </si>
  <si>
    <t>Loading Type</t>
  </si>
  <si>
    <t>CEO / Head of Sales</t>
  </si>
  <si>
    <t>Executive</t>
  </si>
  <si>
    <t>founder</t>
  </si>
  <si>
    <t>CTO / Sr. Full Stack</t>
  </si>
  <si>
    <t>Engineering</t>
  </si>
  <si>
    <t>Sr. Protocol Engineer</t>
  </si>
  <si>
    <t>intlContractor</t>
  </si>
  <si>
    <t>Backend Security Eng</t>
  </si>
  <si>
    <t>Developer Advocate</t>
  </si>
  <si>
    <t>Marketing</t>
  </si>
  <si>
    <t>us</t>
  </si>
  <si>
    <t>Customer Success Lead</t>
  </si>
  <si>
    <t>CS</t>
  </si>
  <si>
    <t>Account Executive 1</t>
  </si>
  <si>
    <t>Sales</t>
  </si>
  <si>
    <t>SDR 1</t>
  </si>
  <si>
    <t>Frontend Engineer</t>
  </si>
  <si>
    <t>Account Executive 2</t>
  </si>
  <si>
    <t>Head of Sales</t>
  </si>
  <si>
    <t>Senior DevOps/SRE</t>
  </si>
  <si>
    <t>Product Manager</t>
  </si>
  <si>
    <t>Product</t>
  </si>
  <si>
    <t>Python Developer</t>
  </si>
  <si>
    <t>Enterprise Relationship Mgr</t>
  </si>
  <si>
    <t>Growth Marketing Manager</t>
  </si>
  <si>
    <t>Customer Success Mgr 2</t>
  </si>
  <si>
    <t>Senior QA Automation Eng</t>
  </si>
  <si>
    <t>Mobile Lead</t>
  </si>
  <si>
    <t>Account Executive 3</t>
  </si>
  <si>
    <t>SDR 2</t>
  </si>
  <si>
    <t>VP of Engineering</t>
  </si>
  <si>
    <t>Security Engineer</t>
  </si>
  <si>
    <t>Finance Controller</t>
  </si>
  <si>
    <t>Ops</t>
  </si>
  <si>
    <t>Technical Recruiter</t>
  </si>
  <si>
    <t>SALES CAPACITY METRICS</t>
  </si>
  <si>
    <t>Active AEs</t>
  </si>
  <si>
    <t>-</t>
  </si>
  <si>
    <t>Active SDRs</t>
  </si>
  <si>
    <t>Total Loaded Payroll</t>
  </si>
  <si>
    <t>Total Headcount</t>
  </si>
  <si>
    <t>OPERATING EXPENSES - 36-MONTH DETAIL</t>
  </si>
  <si>
    <t>Expense</t>
  </si>
  <si>
    <t>G&amp;A COSTS</t>
  </si>
  <si>
    <t>Office Space</t>
  </si>
  <si>
    <t>Software/Tools</t>
  </si>
  <si>
    <t>Travel &amp; Entertainment</t>
  </si>
  <si>
    <t>Professional Services</t>
  </si>
  <si>
    <t>SOC 2/Compliance</t>
  </si>
  <si>
    <t>Equipment</t>
  </si>
  <si>
    <t>Insurance</t>
  </si>
  <si>
    <t>Legal</t>
  </si>
  <si>
    <t>Stipends</t>
  </si>
  <si>
    <t>Miscellaneous</t>
  </si>
  <si>
    <t>Total G&amp;A</t>
  </si>
  <si>
    <t>S&amp;M COSTS</t>
  </si>
  <si>
    <t>Marketing Budget</t>
  </si>
  <si>
    <t>SDR Commission</t>
  </si>
  <si>
    <t>Sales Tools (CRM, etc.)</t>
  </si>
  <si>
    <t>Acquisition Spend</t>
  </si>
  <si>
    <t>AE + Expansion Commission</t>
  </si>
  <si>
    <t>Total S&amp;M</t>
  </si>
  <si>
    <t>OTHER OPERATING EXPENSES</t>
  </si>
  <si>
    <t>Loaded Payroll</t>
  </si>
  <si>
    <t>Product Development</t>
  </si>
  <si>
    <t>Total OpEx</t>
  </si>
  <si>
    <t>P&amp;L STATEMENT - 36-MONTH DETAIL</t>
  </si>
  <si>
    <t>Line Item</t>
  </si>
  <si>
    <t>Total Revenue (MRR)</t>
  </si>
  <si>
    <t>COST OF GOODS SOLD</t>
  </si>
  <si>
    <t>OPERATING EXPENSES</t>
  </si>
  <si>
    <t>G&amp;A</t>
  </si>
  <si>
    <t>Payroll (Loaded)</t>
  </si>
  <si>
    <t>S&amp;M</t>
  </si>
  <si>
    <t>Product Dev</t>
  </si>
  <si>
    <t>Formula</t>
  </si>
  <si>
    <t>Benchmark</t>
  </si>
  <si>
    <t>REVENUE PER SEAT</t>
  </si>
  <si>
    <t>Revenue per Active Seat</t>
  </si>
  <si>
    <t>VARIABLE COGS (Per Seat/Month)</t>
  </si>
  <si>
    <t>GB x Rate</t>
  </si>
  <si>
    <t>Filebase enterprise</t>
  </si>
  <si>
    <t>Cache-adjusted</t>
  </si>
  <si>
    <t>CDN optimized</t>
  </si>
  <si>
    <t>Lambda/API</t>
  </si>
  <si>
    <t>Pay-per-use</t>
  </si>
  <si>
    <t>S3 cross-region</t>
  </si>
  <si>
    <t>DR costs</t>
  </si>
  <si>
    <t>Intercom (Audited)</t>
  </si>
  <si>
    <t>Y1: 100% off</t>
  </si>
  <si>
    <t>Payment Processing</t>
  </si>
  <si>
    <t>2.9% x Revenue</t>
  </si>
  <si>
    <t>Stripe standard</t>
  </si>
  <si>
    <t>Total Variable COGS</t>
  </si>
  <si>
    <t>Sum of above</t>
  </si>
  <si>
    <t>Scales linearly</t>
  </si>
  <si>
    <t>FIXED INFRASTRUCTURE</t>
  </si>
  <si>
    <t>Monthly Fixed Costs</t>
  </si>
  <si>
    <t>Platform+Infra</t>
  </si>
  <si>
    <t>Step function</t>
  </si>
  <si>
    <t>Avg Seats</t>
  </si>
  <si>
    <t>Fixed COGS per Seat</t>
  </si>
  <si>
    <t>Fixed / Seats</t>
  </si>
  <si>
    <t>Decreases with scale</t>
  </si>
  <si>
    <t>GROSS PROFIT ANALYSIS</t>
  </si>
  <si>
    <t>Total COGS per Seat</t>
  </si>
  <si>
    <t>Variable + Fixed</t>
  </si>
  <si>
    <t>All-in cost</t>
  </si>
  <si>
    <t>Gross Profit per Seat/Mo</t>
  </si>
  <si>
    <t>Revenue - COGS</t>
  </si>
  <si>
    <t>Higher = better</t>
  </si>
  <si>
    <t>(GP / Rev) x 100</t>
  </si>
  <si>
    <t>75-87% achieved</t>
  </si>
  <si>
    <t>LIFETIME VALUE</t>
  </si>
  <si>
    <t>Seats per Account</t>
  </si>
  <si>
    <t>CAC (per Account)</t>
  </si>
  <si>
    <t>All-in</t>
  </si>
  <si>
    <t>$200-300 PLG</t>
  </si>
  <si>
    <t>Monthly GP per Account</t>
  </si>
  <si>
    <t>GP/seat x seats</t>
  </si>
  <si>
    <t>Account-level GP</t>
  </si>
  <si>
    <t>Avg Customer Lifetime (mo)</t>
  </si>
  <si>
    <t>1/Churn (capped 60)</t>
  </si>
  <si>
    <t>Derived from churn</t>
  </si>
  <si>
    <t>LTV (per Account)</t>
  </si>
  <si>
    <t>GP x Lifetime</t>
  </si>
  <si>
    <t>&gt;$1,000</t>
  </si>
  <si>
    <t>LTV:CAC Ratio</t>
  </si>
  <si>
    <t>LTV / CAC</t>
  </si>
  <si>
    <t>&gt;3x</t>
  </si>
  <si>
    <t>CAC Payback (months)</t>
  </si>
  <si>
    <t>CAC / Monthly GP</t>
  </si>
  <si>
    <t>&lt;18 months</t>
  </si>
  <si>
    <t>CAPITALIZATION TABLE - $2.5M TIERED SAFE</t>
  </si>
  <si>
    <t>Shareholder</t>
  </si>
  <si>
    <t>Pre-Money %</t>
  </si>
  <si>
    <t>Post-Conversion %</t>
  </si>
  <si>
    <t>Founders (Common)</t>
  </si>
  <si>
    <t>Founding shares</t>
  </si>
  <si>
    <t>Pre-Seed Angels</t>
  </si>
  <si>
    <t>Prior investment</t>
  </si>
  <si>
    <t>Pre-SAFE Total</t>
  </si>
  <si>
    <t>Tier 1 SAFE ($1M @ $16M)</t>
  </si>
  <si>
    <t>Best terms - early believers</t>
  </si>
  <si>
    <t>Tier 2 SAFE ($1M @ $18M)</t>
  </si>
  <si>
    <t>Standard terms</t>
  </si>
  <si>
    <t>Tier 3 SAFE ($0.5M @ $20M)</t>
  </si>
  <si>
    <t>Limited allocation</t>
  </si>
  <si>
    <t>Total SAFE Investors</t>
  </si>
  <si>
    <t>Blended ownership</t>
  </si>
  <si>
    <t>TIERED SAFE STRUCTURE</t>
  </si>
  <si>
    <t>Tier 1</t>
  </si>
  <si>
    <t>Tier 2</t>
  </si>
  <si>
    <t>Tier 3</t>
  </si>
  <si>
    <t>TOTAL</t>
  </si>
  <si>
    <t>$17.14M blended</t>
  </si>
  <si>
    <t>USE OF FUNDS - $2.5M TIERED SAFE</t>
  </si>
  <si>
    <t>Amount</t>
  </si>
  <si>
    <t>%</t>
  </si>
  <si>
    <t>Key Investments</t>
  </si>
  <si>
    <t>Team Building</t>
  </si>
  <si>
    <t>7 FTEs Y1 - Founder-led</t>
  </si>
  <si>
    <t>Sales &amp; Marketing</t>
  </si>
  <si>
    <t>PLG funnel, content</t>
  </si>
  <si>
    <t>Product &amp; Infra</t>
  </si>
  <si>
    <t>Security, ZK-proofs, Solana</t>
  </si>
  <si>
    <t>G&amp;A / Operations</t>
  </si>
  <si>
    <t>Fractional CFO, remote ops</t>
  </si>
  <si>
    <t>Working Capital</t>
  </si>
  <si>
    <t>Extended runway buffer</t>
  </si>
  <si>
    <t>Total</t>
  </si>
  <si>
    <t>~28-month runway</t>
  </si>
  <si>
    <t>MILESTONE SCHEDULE</t>
  </si>
  <si>
    <t>Period</t>
  </si>
  <si>
    <t>Milestones</t>
  </si>
  <si>
    <t>HC</t>
  </si>
  <si>
    <t>Burn</t>
  </si>
  <si>
    <t>Q1 (M1-M3)</t>
  </si>
  <si>
    <t>MVP Build</t>
  </si>
  <si>
    <t>~$65K</t>
  </si>
  <si>
    <t>Q2 (M4-M6)</t>
  </si>
  <si>
    <t>Beta Launch</t>
  </si>
  <si>
    <t>~$70K</t>
  </si>
  <si>
    <t>Q3 (M7-M9)</t>
  </si>
  <si>
    <t>Security Hardening</t>
  </si>
  <si>
    <t>~$75K</t>
  </si>
  <si>
    <t>Q4 (M10-M12)</t>
  </si>
  <si>
    <t>GTM Validation</t>
  </si>
  <si>
    <t>~$85K</t>
  </si>
  <si>
    <t>Y1 End</t>
  </si>
  <si>
    <t>~$1.7M ARR Target</t>
  </si>
  <si>
    <t>Avg ~$75K</t>
  </si>
  <si>
    <t>BLOCKDRIVE FINANCIAL MODEL - TRUE INPUTS</t>
  </si>
  <si>
    <t>PRICING TIERS (List Prices)</t>
  </si>
  <si>
    <t>$/Month</t>
  </si>
  <si>
    <t>Unit</t>
  </si>
  <si>
    <t>flat</t>
  </si>
  <si>
    <t>Privacy individuals, 200GB</t>
  </si>
  <si>
    <t>Creatives, 2TB + unmetered transfer</t>
  </si>
  <si>
    <t>per seat</t>
  </si>
  <si>
    <t>SMB/boutique, 2-seat min wedge strategy</t>
  </si>
  <si>
    <t>50-99 seats, SSO/Invoicing/Audit</t>
  </si>
  <si>
    <t>100+ seats, white glove, SLA</t>
  </si>
  <si>
    <t>TRAFFIC &amp; MARKETING</t>
  </si>
  <si>
    <t>M4 Launch Traffic</t>
  </si>
  <si>
    <t>Base Case: PH + HN + 3mo founder hustle</t>
  </si>
  <si>
    <t>Traffic MoM Growth %</t>
  </si>
  <si>
    <t>Base organic growth (steps up with budget)</t>
  </si>
  <si>
    <t>Monthly Marketing Budget (Calculated)</t>
  </si>
  <si>
    <t>Visit-to-Signup Rate</t>
  </si>
  <si>
    <t>Improves with brand/UX</t>
  </si>
  <si>
    <t>Signup-to-Trial Rate</t>
  </si>
  <si>
    <t>Lead to trial conversion</t>
  </si>
  <si>
    <t>Trial-to-Paid Rate</t>
  </si>
  <si>
    <t>CC-required, opt-out model</t>
  </si>
  <si>
    <t>PLG Seats (10% of Sales)</t>
  </si>
  <si>
    <t>PLG Accounts (derived)</t>
  </si>
  <si>
    <t>Sales Commission Rate</t>
  </si>
  <si>
    <t>10% of first-year ACV</t>
  </si>
  <si>
    <t>AE Monthly Draw (Guarantee)</t>
  </si>
  <si>
    <t>Fixed base for SDR function</t>
  </si>
  <si>
    <t>AE Draw Period (months)</t>
  </si>
  <si>
    <t>When SDR function begins</t>
  </si>
  <si>
    <t>Commission Start Month</t>
  </si>
  <si>
    <t>When sales commissions begin</t>
  </si>
  <si>
    <t>Base Marketing Budget</t>
  </si>
  <si>
    <t>Per-AE Marketing Budget</t>
  </si>
  <si>
    <t>PLG CHANNEL MIX</t>
  </si>
  <si>
    <t>Tier Distribution</t>
  </si>
  <si>
    <t>% of PLG</t>
  </si>
  <si>
    <t>List $/Seat</t>
  </si>
  <si>
    <t>Individual privacy users</t>
  </si>
  <si>
    <t>Creatives, high-volume</t>
  </si>
  <si>
    <t>Scale (2-seat)</t>
  </si>
  <si>
    <t>Co-founder pairs, micro teams</t>
  </si>
  <si>
    <t>Scale (5-seat)</t>
  </si>
  <si>
    <t>Small teams self-serve</t>
  </si>
  <si>
    <t>Total PLG</t>
  </si>
  <si>
    <t>Weighted avg seats/account</t>
  </si>
  <si>
    <t>LAUNCH WAITLIST</t>
  </si>
  <si>
    <t>PLG Waitlist Size</t>
  </si>
  <si>
    <t>Waitlist Conversion Rate</t>
  </si>
  <si>
    <t>Waitlist Conversions</t>
  </si>
  <si>
    <t>Small team sales</t>
  </si>
  <si>
    <t>Scale (15-seat)</t>
  </si>
  <si>
    <t>Core SMB segment</t>
  </si>
  <si>
    <t>Scale (25-seat)</t>
  </si>
  <si>
    <t>Larger SMB deals</t>
  </si>
  <si>
    <t>Total Sales</t>
  </si>
  <si>
    <t>Weighted avg seats/deal</t>
  </si>
  <si>
    <t>Monthly Referral Rate</t>
  </si>
  <si>
    <t>SALES CAPACITY</t>
  </si>
  <si>
    <t>PRE-LAUNCH PIPELINE</t>
  </si>
  <si>
    <t>Pipeline Deals at Launch</t>
  </si>
  <si>
    <t>Pipeline Close Rate</t>
  </si>
  <si>
    <t>Pipeline Conversions</t>
  </si>
  <si>
    <t>Founder Deals/Month</t>
  </si>
  <si>
    <t>Ramps down as team scales</t>
  </si>
  <si>
    <t>AE Deals/Month (each)</t>
  </si>
  <si>
    <t>Top-tier AE (8/mo = ~$1.9M quota at $20K ACV)</t>
  </si>
  <si>
    <t>AE1 Start Month</t>
  </si>
  <si>
    <t>From Staffing Plan</t>
  </si>
  <si>
    <t>AE2 Start Month</t>
  </si>
  <si>
    <t>AE3 Start Month</t>
  </si>
  <si>
    <t>AE Ramp Period (months)</t>
  </si>
  <si>
    <t>PLG Seats Base</t>
  </si>
  <si>
    <t>PLG Seats Growth</t>
  </si>
  <si>
    <t>PLG Seats Cap</t>
  </si>
  <si>
    <t>SDR COMMISSION</t>
  </si>
  <si>
    <t>SDR Meeting Bonus ($)</t>
  </si>
  <si>
    <t>SDR Closed-Won Rate (%)</t>
  </si>
  <si>
    <t>PLG-dominant, improves with enterprise mix</t>
  </si>
  <si>
    <t>Meetings per SDR/Month</t>
  </si>
  <si>
    <t>% of new accounts from referrals</t>
  </si>
  <si>
    <t>Discounts + billing friction buffer</t>
  </si>
  <si>
    <t>Referred accounts tend to be similar</t>
  </si>
  <si>
    <t>Filebase volume pricing</t>
  </si>
  <si>
    <t>CDN + Egress</t>
  </si>
  <si>
    <t>Lambda/API variable</t>
  </si>
  <si>
    <t>Per-seat DR costs</t>
  </si>
  <si>
    <t>Intercom Early Stage</t>
  </si>
  <si>
    <t>Payment Processing %</t>
  </si>
  <si>
    <t>Stripe 2.9%</t>
  </si>
  <si>
    <t>STEP-FUNCTION COSTS (Monthly)</t>
  </si>
  <si>
    <t>Enterprise tiers</t>
  </si>
  <si>
    <t>Solana RPC</t>
  </si>
  <si>
    <t>Monitoring (DataDog)</t>
  </si>
  <si>
    <t>APM @ $31/host</t>
  </si>
  <si>
    <t>Paid acquisition, SEO, email</t>
  </si>
  <si>
    <t>FIXED COSTS (Monthly)</t>
  </si>
  <si>
    <t>Always-on servers</t>
  </si>
  <si>
    <t>DR Base Infrastructure</t>
  </si>
  <si>
    <t>Disaster recovery</t>
  </si>
  <si>
    <t>Fractional Legal</t>
  </si>
  <si>
    <t>ToS, DPA, compliance</t>
  </si>
  <si>
    <t>Product Dev Budget</t>
  </si>
  <si>
    <t>Tools, infra, R&amp;D</t>
  </si>
  <si>
    <t>Stipend per Person</t>
  </si>
  <si>
    <t>Remote work allowance</t>
  </si>
  <si>
    <t>FUNDING &amp; CASH</t>
  </si>
  <si>
    <t>Seed Funding Amount</t>
  </si>
  <si>
    <t>Y2 Value</t>
  </si>
  <si>
    <t>Source</t>
  </si>
  <si>
    <t>Crypto/Web3 - Addressable Pool</t>
  </si>
  <si>
    <t>US subset of 59K global</t>
  </si>
  <si>
    <t>Crypto/Web3 - Reachable %</t>
  </si>
  <si>
    <t>Community penetration</t>
  </si>
  <si>
    <t>Crypto/Web3 - Reachable Universe</t>
  </si>
  <si>
    <t>Pool × reach %</t>
  </si>
  <si>
    <t>Crypto/Web3 - Conversion %</t>
  </si>
  <si>
    <t>Ideological alignment</t>
  </si>
  <si>
    <t>Crypto/Web3 - Max Accounts</t>
  </si>
  <si>
    <t>Universe × conv %</t>
  </si>
  <si>
    <t>Crypto/Web3 - Y1 Target (67%)</t>
  </si>
  <si>
    <t>Conservative execution</t>
  </si>
  <si>
    <t>Crypto Law - Addressable Pool</t>
  </si>
  <si>
    <t>Miami/NY/SF/Austin hubs</t>
  </si>
  <si>
    <t>Crypto Law - Reachable %</t>
  </si>
  <si>
    <t>Tight community</t>
  </si>
  <si>
    <t>Crypto Law - Reachable Universe</t>
  </si>
  <si>
    <t>Crypto Law - Conversion %</t>
  </si>
  <si>
    <t>Privilege pain point</t>
  </si>
  <si>
    <t>Crypto Law - Max Accounts</t>
  </si>
  <si>
    <t>Healthcare - Max Accounts (Y2+)</t>
  </si>
  <si>
    <t>HIPAA-conscious niche</t>
  </si>
  <si>
    <t>Family Offices - Max Accounts (Y2+)</t>
  </si>
  <si>
    <t>Privacy value prop</t>
  </si>
  <si>
    <t>General Legal - Max Accounts (Y2+)</t>
  </si>
  <si>
    <t>Non-crypto expansion</t>
  </si>
  <si>
    <t>FinTech - Max Accounts (Y2+)</t>
  </si>
  <si>
    <t>SOC 2 Type II enables (Q1 Y2)</t>
  </si>
  <si>
    <t>SOC 2 Type I</t>
  </si>
  <si>
    <t>Basic security controls</t>
  </si>
  <si>
    <t>Required for compliance-sensitive verticals</t>
  </si>
  <si>
    <t>SOC 2 Type II</t>
  </si>
  <si>
    <t>Enables FinTech &amp; enterprise sales</t>
  </si>
  <si>
    <t>HIPAA</t>
  </si>
  <si>
    <t>Enables Healthcare vertical</t>
  </si>
  <si>
    <t>Target ACV</t>
  </si>
  <si>
    <t>Implied Seats</t>
  </si>
  <si>
    <t>Crypto/Web3 Companies</t>
  </si>
  <si>
    <t>Crypto Law Firms</t>
  </si>
  <si>
    <t>Healthcare Practices</t>
  </si>
  <si>
    <t>Family Offices</t>
  </si>
  <si>
    <t>PLG (Pro/Power blend)</t>
  </si>
  <si>
    <t>Referrals (match source)</t>
  </si>
  <si>
    <t>FinTech (Mid-Market)</t>
  </si>
  <si>
    <t>VERTICAL SEATS PER ACCOUNT</t>
  </si>
  <si>
    <t>Y1 Avg Seats</t>
  </si>
  <si>
    <t>Y2 Avg Seats</t>
  </si>
  <si>
    <t>Y3 Avg Seats</t>
  </si>
  <si>
    <t>Crypto/Web3</t>
  </si>
  <si>
    <t>PLG Seats/Account (Monthly)</t>
  </si>
  <si>
    <t>Referrals</t>
  </si>
  <si>
    <t>PLG Tier Split</t>
  </si>
  <si>
    <t>Pro %</t>
  </si>
  <si>
    <t>Power %</t>
  </si>
  <si>
    <t>Pro $/seat</t>
  </si>
  <si>
    <t>Power $/seat</t>
  </si>
  <si>
    <t>Referral Rates</t>
  </si>
  <si>
    <t>Mid-Market FinServ</t>
  </si>
  <si>
    <t>Q1: 1, Q2: +1</t>
  </si>
  <si>
    <t>Enterprise Crypto/Web3</t>
  </si>
  <si>
    <t>Q3: 1, Q4: +1</t>
  </si>
  <si>
    <t>Mid-Market FinTech</t>
  </si>
  <si>
    <t>Y3 MONTHLY SCHEDULE</t>
  </si>
  <si>
    <t>FinServ Accounts</t>
  </si>
  <si>
    <t>FinServ Seats</t>
  </si>
  <si>
    <t>FinServ MRR</t>
  </si>
  <si>
    <t>Ent Crypto Accounts</t>
  </si>
  <si>
    <t>Ent Crypto Seats</t>
  </si>
  <si>
    <t>Ent Crypto MRR</t>
  </si>
  <si>
    <t>FinTech MM Accounts</t>
  </si>
  <si>
    <t>FinTech MM Seats</t>
  </si>
  <si>
    <t>FinTech MM MRR</t>
  </si>
  <si>
    <t>Total Ent/MM Accounts</t>
  </si>
  <si>
    <t>Total Ent/MM Seats</t>
  </si>
  <si>
    <t>Total Ent/MM MRR</t>
  </si>
  <si>
    <t>FinTech Accounts</t>
  </si>
  <si>
    <t>FinTech Seats</t>
  </si>
  <si>
    <t>Y2 FINTECH SALES (SMB)</t>
  </si>
  <si>
    <t>FinTech Y2 Accounts</t>
  </si>
  <si>
    <t>FinTech Y2 Seats</t>
  </si>
  <si>
    <t>SALES CAPACITY CALCULATION (Formula-Driven)</t>
  </si>
  <si>
    <t>Founder Active</t>
  </si>
  <si>
    <t>Founder Deals</t>
  </si>
  <si>
    <t>AE1 Active</t>
  </si>
  <si>
    <t>AE1 Deals</t>
  </si>
  <si>
    <t>AE2 Active</t>
  </si>
  <si>
    <t>AE2 Deals</t>
  </si>
  <si>
    <t>AE3 Active</t>
  </si>
  <si>
    <t>AE3 Deals</t>
  </si>
  <si>
    <t>TOTAL MONTHLY CAPACITY</t>
  </si>
  <si>
    <t>EFFECTIVE MONTHLY ACCOUNTS</t>
  </si>
  <si>
    <t>Total AE Deals</t>
  </si>
  <si>
    <t>AE Share of Deals</t>
  </si>
  <si>
    <t>VERTICAL ALLOCATION (% of Sales Capacity)</t>
  </si>
  <si>
    <t>Y1 %</t>
  </si>
  <si>
    <t>Y2 %</t>
  </si>
  <si>
    <t>Y3 %</t>
  </si>
  <si>
    <t>FinTech (MM)</t>
  </si>
  <si>
    <t>VERTICAL ACCOUNT OUTPUT</t>
  </si>
  <si>
    <t>Vertical Accounts</t>
  </si>
  <si>
    <t>M37</t>
  </si>
  <si>
    <t>M38</t>
  </si>
  <si>
    <t>M39</t>
  </si>
  <si>
    <t>Healthcare Accounts</t>
  </si>
  <si>
    <t>Family Office Accounts</t>
  </si>
  <si>
    <t>General Legal Accounts</t>
  </si>
  <si>
    <t>AE New ARR (this month)</t>
  </si>
  <si>
    <t>Quota Attainment %</t>
  </si>
  <si>
    <t>Effective Commission Rate</t>
  </si>
  <si>
    <t>Accelerated AE Commission</t>
  </si>
  <si>
    <t>DEFERRED COMMISSION</t>
  </si>
  <si>
    <t>Gross AE Commission (before timing)</t>
  </si>
  <si>
    <t>Upfront Portion (paid now)</t>
  </si>
  <si>
    <t>Deferred from 6 months ago</t>
  </si>
  <si>
    <t>Net AE Commission (cash basis)</t>
  </si>
  <si>
    <t>ACCELERATOR PARAMETERS</t>
  </si>
  <si>
    <t>Base Rate (0-100%)</t>
  </si>
  <si>
    <t>Tier 2 Rate (101-125%)</t>
  </si>
  <si>
    <t>Tier 3 Rate (126%+)</t>
  </si>
  <si>
    <t>AE Monthly Quota (ARR)</t>
  </si>
  <si>
    <t>PAYOUT TIMING</t>
  </si>
  <si>
    <t>Monthly Plan Mix %</t>
  </si>
  <si>
    <t>Monthly: Upfront %</t>
  </si>
  <si>
    <t>Monthly: Deferred %</t>
  </si>
  <si>
    <t>Deferral Period (months)</t>
  </si>
  <si>
    <t>EXPANSION COMMISSION</t>
  </si>
  <si>
    <t>Quarterly Expansion Rate</t>
  </si>
  <si>
    <t>Expansion Commission Rate</t>
  </si>
  <si>
    <t>Quarterly Expansion ARR</t>
  </si>
  <si>
    <t>Expansion Commission (Quarterly)</t>
  </si>
  <si>
    <t>Expansion Commission (Monthly)</t>
  </si>
  <si>
    <t>TOTAL COMMISSION SUMMARY</t>
  </si>
  <si>
    <t>Total All Commissions</t>
  </si>
  <si>
    <t>SDR COMMISSION TRACKING</t>
  </si>
  <si>
    <t>Total Meetings Held</t>
  </si>
  <si>
    <t>Meeting Bonus Total</t>
  </si>
  <si>
    <t>SDR-Sourced Revenue (ARR)</t>
  </si>
  <si>
    <t>Closed-Won Bonus</t>
  </si>
  <si>
    <t>Total SDR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</si>
</sst>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&quot; months&quot;"/>
    <numFmt numFmtId="167" formatCode="&quot;$&quot;#,##0.00"/>
  </numFmts>
  <fonts count="22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2"/>
      <name val="Calibri"/>
      <charset val="1"/>
    </font>
    <font>
      <b/>
      <sz val="11"/>
      <name val="Calibri"/>
      <charset val="1"/>
    </font>
    <font>
      <i/>
      <sz val="11"/>
      <name val="Calibri"/>
      <charset val="1"/>
    </font>
    <font>
      <b/>
      <sz val="9"/>
      <color rgb="FFFFFFFF"/>
      <name val="Cambria"/>
      <charset val="1"/>
    </font>
    <font>
      <b/>
      <sz val="12"/>
      <color rgb="FFFFFFFF"/>
      <name val="Calibri"/>
    </font>
    <font>
      <b/>
      <sz val="10"/>
      <name val="Calibri"/>
    </font>
    <font>
      <i/>
      <sz val="9"/>
      <color rgb="FF666666"/>
      <name val="Calibri"/>
    </font>
    <font>
      <b/>
      <sz val="9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CC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9"/>
      <name val="Calibri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7E6E6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D0D0D0"/>
      </patternFill>
    </fill>
    <fill>
      <patternFill patternType="solid">
        <fgColor rgb="FFA9D08E"/>
        <bgColor rgb="FFD0D0D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6DCE5"/>
        <bgColor rgb="FFD6DCE5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/>
      <top style="thin">
        <color rgb="FFBFBFBF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3" fontId="2" fillId="7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8" fillId="10" borderId="1" xfId="0" applyFont="1" applyFill="1" applyBorder="1" applyAlignment="1">
      <alignment horizontal="center" vertical="center"/>
    </xf>
    <xf numFmtId="0" fontId="0" fillId="9" borderId="0" xfId="0" applyFill="1"/>
    <xf numFmtId="0" fontId="12" fillId="11" borderId="6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0" fontId="13" fillId="12" borderId="2" xfId="0" applyFont="1" applyFill="1" applyBorder="1"/>
    <xf numFmtId="0" fontId="13" fillId="12" borderId="3" xfId="0" applyFont="1" applyFill="1" applyBorder="1"/>
    <xf numFmtId="0" fontId="14" fillId="11" borderId="6" xfId="0" applyFont="1" applyFill="1" applyBorder="1" applyAlignment="1">
      <alignment horizontal="left" vertical="center"/>
    </xf>
    <xf numFmtId="3" fontId="14" fillId="11" borderId="6" xfId="0" applyNumberFormat="1" applyFont="1" applyFill="1" applyBorder="1" applyAlignment="1">
      <alignment horizontal="right" vertical="center"/>
    </xf>
    <xf numFmtId="0" fontId="14" fillId="9" borderId="6" xfId="0" applyFont="1" applyFill="1" applyBorder="1" applyAlignment="1">
      <alignment horizontal="left" vertical="center"/>
    </xf>
    <xf numFmtId="3" fontId="14" fillId="9" borderId="6" xfId="0" applyNumberFormat="1" applyFont="1" applyFill="1" applyBorder="1" applyAlignment="1">
      <alignment horizontal="right" vertical="center"/>
    </xf>
    <xf numFmtId="164" fontId="14" fillId="9" borderId="6" xfId="0" applyNumberFormat="1" applyFont="1" applyFill="1" applyBorder="1" applyAlignment="1">
      <alignment horizontal="right" vertical="center"/>
    </xf>
    <xf numFmtId="0" fontId="15" fillId="13" borderId="7" xfId="0" applyFont="1" applyFill="1" applyBorder="1" applyAlignment="1">
      <alignment horizontal="left" vertical="center"/>
    </xf>
    <xf numFmtId="164" fontId="15" fillId="13" borderId="7" xfId="0" applyNumberFormat="1" applyFont="1" applyFill="1" applyBorder="1" applyAlignment="1">
      <alignment horizontal="right" vertical="center"/>
    </xf>
    <xf numFmtId="165" fontId="15" fillId="13" borderId="7" xfId="0" applyNumberFormat="1" applyFont="1" applyFill="1" applyBorder="1" applyAlignment="1">
      <alignment horizontal="right" vertical="center"/>
    </xf>
    <xf numFmtId="3" fontId="0" fillId="9" borderId="0" xfId="0" applyNumberFormat="1" applyFill="1"/>
    <xf numFmtId="3" fontId="13" fillId="1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165" fontId="14" fillId="11" borderId="6" xfId="0" applyNumberFormat="1" applyFont="1" applyFill="1" applyBorder="1" applyAlignment="1">
      <alignment horizontal="right" vertical="center"/>
    </xf>
    <xf numFmtId="0" fontId="15" fillId="13" borderId="7" xfId="0" applyFont="1" applyFill="1" applyBorder="1"/>
    <xf numFmtId="164" fontId="15" fillId="13" borderId="7" xfId="0" applyNumberFormat="1" applyFont="1" applyFill="1" applyBorder="1"/>
    <xf numFmtId="0" fontId="14" fillId="11" borderId="6" xfId="0" applyFont="1" applyFill="1" applyBorder="1"/>
    <xf numFmtId="165" fontId="14" fillId="11" borderId="6" xfId="0" applyNumberFormat="1" applyFont="1" applyFill="1" applyBorder="1"/>
    <xf numFmtId="0" fontId="14" fillId="9" borderId="6" xfId="0" applyFont="1" applyFill="1" applyBorder="1"/>
    <xf numFmtId="3" fontId="14" fillId="9" borderId="6" xfId="0" applyNumberFormat="1" applyFont="1" applyFill="1" applyBorder="1"/>
    <xf numFmtId="3" fontId="14" fillId="11" borderId="6" xfId="0" applyNumberFormat="1" applyFont="1" applyFill="1" applyBorder="1"/>
    <xf numFmtId="0" fontId="13" fillId="12" borderId="0" xfId="0" applyFont="1" applyFill="1"/>
    <xf numFmtId="164" fontId="0" fillId="9" borderId="0" xfId="0" applyNumberFormat="1" applyFill="1"/>
    <xf numFmtId="166" fontId="0" fillId="9" borderId="0" xfId="0" applyNumberFormat="1" applyFill="1"/>
    <xf numFmtId="0" fontId="4" fillId="9" borderId="0" xfId="0" applyFont="1" applyFill="1"/>
    <xf numFmtId="0" fontId="5" fillId="9" borderId="0" xfId="0" applyFont="1" applyFill="1"/>
    <xf numFmtId="0" fontId="6" fillId="9" borderId="0" xfId="0" applyFont="1" applyFill="1"/>
    <xf numFmtId="0" fontId="2" fillId="11" borderId="6" xfId="0" applyFont="1" applyFill="1" applyBorder="1" applyAlignment="1">
      <alignment horizontal="left" vertical="center"/>
    </xf>
    <xf numFmtId="0" fontId="2" fillId="9" borderId="6" xfId="0" applyFont="1" applyFill="1" applyBorder="1" applyAlignment="1">
      <alignment horizontal="left" vertical="center"/>
    </xf>
    <xf numFmtId="3" fontId="2" fillId="11" borderId="6" xfId="0" applyNumberFormat="1" applyFont="1" applyFill="1" applyBorder="1" applyAlignment="1">
      <alignment horizontal="right" vertical="center"/>
    </xf>
    <xf numFmtId="3" fontId="1" fillId="9" borderId="6" xfId="0" applyNumberFormat="1" applyFont="1" applyFill="1" applyBorder="1" applyAlignment="1">
      <alignment horizontal="center" vertical="center"/>
    </xf>
    <xf numFmtId="3" fontId="15" fillId="13" borderId="7" xfId="0" applyNumberFormat="1" applyFont="1" applyFill="1" applyBorder="1" applyAlignment="1">
      <alignment horizontal="right" vertical="center"/>
    </xf>
    <xf numFmtId="0" fontId="5" fillId="9" borderId="6" xfId="0" applyFont="1" applyFill="1" applyBorder="1" applyAlignment="1">
      <alignment horizontal="left" vertical="center"/>
    </xf>
    <xf numFmtId="3" fontId="2" fillId="9" borderId="6" xfId="0" applyNumberFormat="1" applyFont="1" applyFill="1" applyBorder="1" applyAlignment="1">
      <alignment horizontal="right" vertical="center"/>
    </xf>
    <xf numFmtId="3" fontId="13" fillId="12" borderId="1" xfId="0" applyNumberFormat="1" applyFont="1" applyFill="1" applyBorder="1" applyAlignment="1">
      <alignment horizontal="right" vertical="center"/>
    </xf>
    <xf numFmtId="164" fontId="13" fillId="12" borderId="1" xfId="0" applyNumberFormat="1" applyFont="1" applyFill="1" applyBorder="1" applyAlignment="1">
      <alignment horizontal="right" vertical="center"/>
    </xf>
    <xf numFmtId="164" fontId="2" fillId="9" borderId="6" xfId="0" applyNumberFormat="1" applyFont="1" applyFill="1" applyBorder="1" applyAlignment="1">
      <alignment horizontal="right" vertical="center"/>
    </xf>
    <xf numFmtId="164" fontId="15" fillId="13" borderId="7" xfId="0" applyNumberFormat="1" applyFont="1" applyFill="1" applyBorder="1" applyAlignment="1">
      <alignment horizontal="center" vertical="center"/>
    </xf>
    <xf numFmtId="0" fontId="8" fillId="10" borderId="0" xfId="0" applyFont="1" applyFill="1"/>
    <xf numFmtId="0" fontId="13" fillId="12" borderId="6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center" vertical="center"/>
    </xf>
    <xf numFmtId="0" fontId="0" fillId="9" borderId="6" xfId="0" applyFill="1" applyBorder="1"/>
    <xf numFmtId="3" fontId="16" fillId="9" borderId="6" xfId="0" applyNumberFormat="1" applyFont="1" applyFill="1" applyBorder="1" applyAlignment="1">
      <alignment horizontal="right" vertical="center"/>
    </xf>
    <xf numFmtId="0" fontId="14" fillId="12" borderId="6" xfId="0" applyFont="1" applyFill="1" applyBorder="1" applyAlignment="1">
      <alignment horizontal="left" vertical="center"/>
    </xf>
    <xf numFmtId="3" fontId="16" fillId="12" borderId="6" xfId="0" applyNumberFormat="1" applyFont="1" applyFill="1" applyBorder="1" applyAlignment="1">
      <alignment horizontal="right" vertical="center"/>
    </xf>
    <xf numFmtId="3" fontId="14" fillId="12" borderId="6" xfId="0" applyNumberFormat="1" applyFont="1" applyFill="1" applyBorder="1" applyAlignment="1">
      <alignment horizontal="right" vertical="center"/>
    </xf>
    <xf numFmtId="0" fontId="13" fillId="12" borderId="6" xfId="0" applyFont="1" applyFill="1" applyBorder="1"/>
    <xf numFmtId="3" fontId="3" fillId="9" borderId="6" xfId="0" applyNumberFormat="1" applyFont="1" applyFill="1" applyBorder="1" applyAlignment="1">
      <alignment horizontal="right" vertical="center"/>
    </xf>
    <xf numFmtId="0" fontId="14" fillId="12" borderId="6" xfId="0" applyFont="1" applyFill="1" applyBorder="1" applyAlignment="1">
      <alignment horizontal="center" vertical="center"/>
    </xf>
    <xf numFmtId="3" fontId="14" fillId="12" borderId="6" xfId="0" applyNumberFormat="1" applyFont="1" applyFill="1" applyBorder="1" applyAlignment="1">
      <alignment horizontal="center" vertical="center"/>
    </xf>
    <xf numFmtId="165" fontId="16" fillId="12" borderId="6" xfId="0" applyNumberFormat="1" applyFont="1" applyFill="1" applyBorder="1" applyAlignment="1">
      <alignment horizontal="right" vertical="center"/>
    </xf>
    <xf numFmtId="165" fontId="14" fillId="12" borderId="6" xfId="0" applyNumberFormat="1" applyFont="1" applyFill="1" applyBorder="1" applyAlignment="1">
      <alignment horizontal="right" vertical="center"/>
    </xf>
    <xf numFmtId="165" fontId="16" fillId="9" borderId="6" xfId="0" applyNumberFormat="1" applyFont="1" applyFill="1" applyBorder="1" applyAlignment="1">
      <alignment horizontal="right" vertical="center"/>
    </xf>
    <xf numFmtId="165" fontId="14" fillId="9" borderId="6" xfId="0" applyNumberFormat="1" applyFont="1" applyFill="1" applyBorder="1" applyAlignment="1">
      <alignment horizontal="right" vertical="center"/>
    </xf>
    <xf numFmtId="0" fontId="14" fillId="12" borderId="6" xfId="0" applyFont="1" applyFill="1" applyBorder="1"/>
    <xf numFmtId="165" fontId="3" fillId="9" borderId="6" xfId="0" applyNumberFormat="1" applyFont="1" applyFill="1" applyBorder="1" applyAlignment="1">
      <alignment horizontal="right" vertical="center"/>
    </xf>
    <xf numFmtId="3" fontId="13" fillId="12" borderId="6" xfId="0" applyNumberFormat="1" applyFont="1" applyFill="1" applyBorder="1" applyAlignment="1">
      <alignment horizontal="center" vertical="center"/>
    </xf>
    <xf numFmtId="3" fontId="14" fillId="9" borderId="6" xfId="0" applyNumberFormat="1" applyFont="1" applyFill="1" applyBorder="1" applyAlignment="1">
      <alignment horizontal="center" vertical="center"/>
    </xf>
    <xf numFmtId="3" fontId="13" fillId="12" borderId="6" xfId="0" applyNumberFormat="1" applyFont="1" applyFill="1" applyBorder="1" applyAlignment="1">
      <alignment horizontal="right" vertical="center"/>
    </xf>
    <xf numFmtId="3" fontId="16" fillId="12" borderId="6" xfId="0" applyNumberFormat="1" applyFont="1" applyFill="1" applyBorder="1" applyAlignment="1">
      <alignment horizontal="center" vertical="center"/>
    </xf>
    <xf numFmtId="3" fontId="16" fillId="9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/>
    <xf numFmtId="164" fontId="13" fillId="12" borderId="6" xfId="0" applyNumberFormat="1" applyFont="1" applyFill="1" applyBorder="1" applyAlignment="1">
      <alignment horizontal="center" vertical="center"/>
    </xf>
    <xf numFmtId="164" fontId="16" fillId="9" borderId="6" xfId="0" applyNumberFormat="1" applyFont="1" applyFill="1" applyBorder="1" applyAlignment="1">
      <alignment horizontal="right" vertical="center"/>
    </xf>
    <xf numFmtId="165" fontId="14" fillId="12" borderId="6" xfId="0" applyNumberFormat="1" applyFont="1" applyFill="1" applyBorder="1" applyAlignment="1">
      <alignment horizontal="center" vertical="center"/>
    </xf>
    <xf numFmtId="165" fontId="13" fillId="12" borderId="6" xfId="0" applyNumberFormat="1" applyFont="1" applyFill="1" applyBorder="1" applyAlignment="1">
      <alignment horizontal="center" vertical="center"/>
    </xf>
    <xf numFmtId="164" fontId="16" fillId="9" borderId="6" xfId="0" applyNumberFormat="1" applyFont="1" applyFill="1" applyBorder="1" applyAlignment="1">
      <alignment horizontal="center" vertical="center"/>
    </xf>
    <xf numFmtId="165" fontId="16" fillId="9" borderId="6" xfId="0" applyNumberFormat="1" applyFont="1" applyFill="1" applyBorder="1"/>
    <xf numFmtId="164" fontId="16" fillId="9" borderId="6" xfId="0" applyNumberFormat="1" applyFont="1" applyFill="1" applyBorder="1"/>
    <xf numFmtId="0" fontId="16" fillId="12" borderId="6" xfId="0" applyFont="1" applyFill="1" applyBorder="1"/>
    <xf numFmtId="165" fontId="14" fillId="9" borderId="6" xfId="0" applyNumberFormat="1" applyFont="1" applyFill="1" applyBorder="1"/>
    <xf numFmtId="0" fontId="12" fillId="11" borderId="6" xfId="0" applyFont="1" applyFill="1" applyBorder="1" applyAlignment="1">
      <alignment horizontal="center"/>
    </xf>
    <xf numFmtId="164" fontId="14" fillId="11" borderId="6" xfId="0" applyNumberFormat="1" applyFont="1" applyFill="1" applyBorder="1" applyAlignment="1">
      <alignment horizontal="right"/>
    </xf>
    <xf numFmtId="164" fontId="14" fillId="9" borderId="6" xfId="0" applyNumberFormat="1" applyFont="1" applyFill="1" applyBorder="1" applyAlignment="1">
      <alignment horizontal="right"/>
    </xf>
    <xf numFmtId="0" fontId="14" fillId="11" borderId="6" xfId="0" applyFont="1" applyFill="1" applyBorder="1" applyAlignment="1">
      <alignment horizontal="right"/>
    </xf>
    <xf numFmtId="0" fontId="14" fillId="11" borderId="6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right"/>
    </xf>
    <xf numFmtId="0" fontId="14" fillId="9" borderId="6" xfId="0" applyFont="1" applyFill="1" applyBorder="1" applyAlignment="1">
      <alignment horizontal="center"/>
    </xf>
    <xf numFmtId="0" fontId="15" fillId="13" borderId="7" xfId="0" applyFont="1" applyFill="1" applyBorder="1" applyAlignment="1">
      <alignment horizontal="right"/>
    </xf>
    <xf numFmtId="0" fontId="10" fillId="9" borderId="0" xfId="0" applyFont="1" applyFill="1"/>
    <xf numFmtId="0" fontId="0" fillId="0" borderId="8" xfId="0" applyBorder="1"/>
    <xf numFmtId="0" fontId="0" fillId="0" borderId="9" xfId="0" applyBorder="1"/>
    <xf numFmtId="3" fontId="3" fillId="11" borderId="6" xfId="0" applyNumberFormat="1" applyFont="1" applyFill="1" applyBorder="1" applyAlignment="1">
      <alignment horizontal="right" vertical="center"/>
    </xf>
    <xf numFmtId="0" fontId="0" fillId="11" borderId="6" xfId="0" applyFill="1" applyBorder="1"/>
    <xf numFmtId="0" fontId="1" fillId="11" borderId="6" xfId="0" applyFont="1" applyFill="1" applyBorder="1" applyAlignment="1">
      <alignment horizontal="center" vertical="center"/>
    </xf>
    <xf numFmtId="164" fontId="3" fillId="9" borderId="6" xfId="0" applyNumberFormat="1" applyFont="1" applyFill="1" applyBorder="1" applyAlignment="1">
      <alignment horizontal="right" vertical="center"/>
    </xf>
    <xf numFmtId="164" fontId="3" fillId="11" borderId="6" xfId="0" applyNumberFormat="1" applyFont="1" applyFill="1" applyBorder="1" applyAlignment="1">
      <alignment horizontal="right" vertical="center"/>
    </xf>
    <xf numFmtId="164" fontId="14" fillId="11" borderId="6" xfId="0" applyNumberFormat="1" applyFont="1" applyFill="1" applyBorder="1" applyAlignment="1">
      <alignment horizontal="right" vertical="center"/>
    </xf>
    <xf numFmtId="164" fontId="1" fillId="11" borderId="6" xfId="0" applyNumberFormat="1" applyFont="1" applyFill="1" applyBorder="1" applyAlignment="1">
      <alignment horizontal="center" vertical="center"/>
    </xf>
    <xf numFmtId="164" fontId="0" fillId="9" borderId="6" xfId="0" applyNumberFormat="1" applyFill="1" applyBorder="1"/>
    <xf numFmtId="3" fontId="0" fillId="11" borderId="6" xfId="0" applyNumberFormat="1" applyFill="1" applyBorder="1"/>
    <xf numFmtId="10" fontId="0" fillId="9" borderId="6" xfId="0" applyNumberFormat="1" applyFill="1" applyBorder="1"/>
    <xf numFmtId="164" fontId="13" fillId="12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6" fontId="0" fillId="11" borderId="6" xfId="0" applyNumberFormat="1" applyFill="1" applyBorder="1"/>
    <xf numFmtId="164" fontId="1" fillId="9" borderId="6" xfId="0" applyNumberFormat="1" applyFont="1" applyFill="1" applyBorder="1" applyAlignment="1">
      <alignment horizontal="center" vertical="center"/>
    </xf>
    <xf numFmtId="164" fontId="2" fillId="11" borderId="6" xfId="0" applyNumberFormat="1" applyFont="1" applyFill="1" applyBorder="1" applyAlignment="1">
      <alignment horizontal="right" vertical="center"/>
    </xf>
    <xf numFmtId="4" fontId="3" fillId="11" borderId="6" xfId="0" applyNumberFormat="1" applyFont="1" applyFill="1" applyBorder="1" applyAlignment="1">
      <alignment horizontal="right" vertical="center"/>
    </xf>
    <xf numFmtId="0" fontId="7" fillId="9" borderId="6" xfId="0" applyFont="1" applyFill="1" applyBorder="1" applyAlignment="1">
      <alignment horizontal="center" vertical="center"/>
    </xf>
    <xf numFmtId="3" fontId="0" fillId="9" borderId="6" xfId="0" applyNumberFormat="1" applyFill="1" applyBorder="1"/>
    <xf numFmtId="165" fontId="15" fillId="13" borderId="7" xfId="0" applyNumberFormat="1" applyFont="1" applyFill="1" applyBorder="1"/>
    <xf numFmtId="3" fontId="15" fillId="13" borderId="7" xfId="0" applyNumberFormat="1" applyFont="1" applyFill="1" applyBorder="1"/>
    <xf numFmtId="165" fontId="0" fillId="9" borderId="6" xfId="0" applyNumberFormat="1" applyFill="1" applyBorder="1"/>
    <xf numFmtId="165" fontId="0" fillId="11" borderId="6" xfId="0" applyNumberFormat="1" applyFill="1" applyBorder="1"/>
    <xf numFmtId="165" fontId="0" fillId="9" borderId="0" xfId="0" applyNumberFormat="1" applyFill="1"/>
    <xf numFmtId="0" fontId="17" fillId="10" borderId="1" xfId="0" applyFont="1" applyFill="1" applyBorder="1" applyAlignment="1">
      <alignment horizontal="center" vertical="center"/>
    </xf>
    <xf numFmtId="0" fontId="17" fillId="10" borderId="0" xfId="0" applyFont="1" applyFill="1"/>
    <xf numFmtId="0" fontId="11" fillId="11" borderId="6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left" vertical="center"/>
    </xf>
    <xf numFmtId="0" fontId="15" fillId="13" borderId="12" xfId="0" applyFont="1" applyFill="1" applyBorder="1"/>
    <xf numFmtId="165" fontId="14" fillId="11" borderId="6" xfId="0" applyNumberFormat="1" applyFont="1" applyFill="1" applyBorder="1" applyAlignment="1">
      <alignment horizontal="left" vertical="center"/>
    </xf>
    <xf numFmtId="0" fontId="17" fillId="10" borderId="0" xfId="0" applyFont="1" applyFill="1" applyAlignment="1">
      <alignment horizontal="center"/>
    </xf>
    <xf numFmtId="0" fontId="15" fillId="13" borderId="12" xfId="0" applyFont="1" applyFill="1" applyBorder="1" applyAlignment="1">
      <alignment horizontal="right"/>
    </xf>
    <xf numFmtId="0" fontId="15" fillId="13" borderId="12" xfId="0" applyFont="1" applyFill="1" applyBorder="1" applyAlignment="1">
      <alignment horizontal="center"/>
    </xf>
    <xf numFmtId="0" fontId="11" fillId="11" borderId="6" xfId="0" applyFont="1" applyFill="1" applyBorder="1"/>
    <xf numFmtId="167" fontId="14" fillId="9" borderId="6" xfId="0" applyNumberFormat="1" applyFont="1" applyFill="1" applyBorder="1"/>
    <xf numFmtId="167" fontId="14" fillId="11" borderId="6" xfId="0" applyNumberFormat="1" applyFont="1" applyFill="1" applyBorder="1"/>
    <xf numFmtId="167" fontId="14" fillId="11" borderId="6" xfId="0" applyNumberFormat="1" applyFont="1" applyFill="1" applyBorder="1" applyAlignment="1">
      <alignment horizontal="right" vertical="center"/>
    </xf>
    <xf numFmtId="167" fontId="15" fillId="13" borderId="12" xfId="0" applyNumberFormat="1" applyFont="1" applyFill="1" applyBorder="1"/>
    <xf numFmtId="167" fontId="15" fillId="13" borderId="12" xfId="0" applyNumberFormat="1" applyFont="1" applyFill="1" applyBorder="1" applyAlignment="1">
      <alignment horizontal="right" vertical="center"/>
    </xf>
    <xf numFmtId="0" fontId="18" fillId="0" borderId="0" xfId="0" applyFont="1"/>
    <xf numFmtId="0" fontId="15" fillId="12" borderId="6" xfId="0" applyFont="1" applyFill="1" applyBorder="1" applyAlignment="1">
      <alignment horizontal="left" vertical="center"/>
    </xf>
    <xf numFmtId="0" fontId="15" fillId="12" borderId="6" xfId="0" applyFont="1" applyFill="1" applyBorder="1"/>
    <xf numFmtId="164" fontId="15" fillId="12" borderId="6" xfId="0" applyNumberFormat="1" applyFont="1" applyFill="1" applyBorder="1" applyAlignment="1">
      <alignment horizontal="center" vertical="center"/>
    </xf>
    <xf numFmtId="0" fontId="18" fillId="9" borderId="0" xfId="0" applyFont="1" applyFill="1"/>
    <xf numFmtId="0" fontId="19" fillId="11" borderId="6" xfId="0" applyFont="1" applyFill="1" applyBorder="1" applyAlignment="1">
      <alignment horizontal="left" vertical="center"/>
    </xf>
    <xf numFmtId="3" fontId="19" fillId="11" borderId="6" xfId="0" applyNumberFormat="1" applyFont="1" applyFill="1" applyBorder="1" applyAlignment="1">
      <alignment horizontal="center" vertical="center"/>
    </xf>
    <xf numFmtId="3" fontId="19" fillId="3" borderId="1" xfId="0" applyNumberFormat="1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left" vertical="center"/>
    </xf>
    <xf numFmtId="3" fontId="19" fillId="9" borderId="6" xfId="0" applyNumberFormat="1" applyFont="1" applyFill="1" applyBorder="1" applyAlignment="1">
      <alignment horizontal="center" vertical="center"/>
    </xf>
    <xf numFmtId="0" fontId="20" fillId="0" borderId="0" xfId="0" applyFont="1"/>
    <xf numFmtId="0" fontId="17" fillId="8" borderId="0" xfId="0" applyFont="1" applyFill="1"/>
    <xf numFmtId="0" fontId="21" fillId="8" borderId="0" xfId="0" applyFont="1" applyFill="1"/>
    <xf numFmtId="0" fontId="21" fillId="0" borderId="0" xfId="0" applyFont="1"/>
    <xf numFmtId="0" fontId="13" fillId="1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8" fillId="10" borderId="1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14" fillId="11" borderId="6" xfId="0" applyFont="1" applyFill="1" applyBorder="1" applyAlignment="1">
      <alignment horizontal="left" vertical="center"/>
    </xf>
    <xf numFmtId="0" fontId="15" fillId="13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8" fillId="10" borderId="4" xfId="0" applyFont="1" applyFill="1" applyBorder="1" applyAlignment="1">
      <alignment horizontal="center" vertical="center"/>
    </xf>
    <xf numFmtId="0" fontId="0" fillId="0" borderId="5" xfId="0" applyBorder="1"/>
    <xf numFmtId="0" fontId="14" fillId="11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08E"/>
      <rgbColor rgb="FFFF99CC"/>
      <rgbColor rgb="FFCC99FF"/>
      <rgbColor rgb="FFD9D9D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"/>
  <sheetViews>
    <sheetView zoomScaleNormal="100" workbookViewId="0">
      <selection activeCell="B1" sqref="B1"/>
    </sheetView>
  </sheetViews>
  <sheetFormatPr defaultColWidth="8.6640625" defaultRowHeight="14.25" x14ac:dyDescent="0.45"/>
  <cols>
    <col min="1" max="1" width="25" customWidth="1"/>
    <col min="2" max="38" width="12" customWidth="1"/>
  </cols>
  <sheetData>
    <row r="1" spans="1:38" ht="24.75" customHeight="1" x14ac:dyDescent="0.45">
      <c r="A1" s="160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9"/>
    </row>
    <row r="2" spans="1:38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1:38" ht="14.25" customHeight="1" x14ac:dyDescent="0.4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"/>
    </row>
    <row r="4" spans="1:38" ht="14.25" customHeight="1" x14ac:dyDescent="0.45">
      <c r="A4" s="157" t="s">
        <v>38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9"/>
      <c r="AL4" s="2"/>
    </row>
    <row r="5" spans="1:38" ht="14.25" customHeight="1" x14ac:dyDescent="0.45">
      <c r="A5" s="23" t="s">
        <v>39</v>
      </c>
      <c r="B5" s="24">
        <f>'Revenue Model'!B$27</f>
        <v>0</v>
      </c>
      <c r="C5" s="24">
        <f>'Revenue Model'!C$27</f>
        <v>0</v>
      </c>
      <c r="D5" s="24">
        <f>'Revenue Model'!D$27</f>
        <v>0</v>
      </c>
      <c r="E5" s="24">
        <f>'Revenue Model'!E$27</f>
        <v>242</v>
      </c>
      <c r="F5" s="24">
        <f>'Revenue Model'!F$27</f>
        <v>145</v>
      </c>
      <c r="G5" s="24">
        <f>'Revenue Model'!G$27</f>
        <v>218</v>
      </c>
      <c r="H5" s="24">
        <f>'Revenue Model'!H$27</f>
        <v>266</v>
      </c>
      <c r="I5" s="24">
        <f>'Revenue Model'!I$27</f>
        <v>266</v>
      </c>
      <c r="J5" s="24">
        <f>'Revenue Model'!J$27</f>
        <v>286</v>
      </c>
      <c r="K5" s="24">
        <f>'Revenue Model'!K$27</f>
        <v>286</v>
      </c>
      <c r="L5" s="24">
        <f>'Revenue Model'!L$27</f>
        <v>286</v>
      </c>
      <c r="M5" s="24">
        <f>'Revenue Model'!M$27</f>
        <v>286</v>
      </c>
      <c r="N5" s="24">
        <f>'Revenue Model'!N$27</f>
        <v>328</v>
      </c>
      <c r="O5" s="24">
        <f>'Revenue Model'!O$27</f>
        <v>353</v>
      </c>
      <c r="P5" s="24">
        <f>'Revenue Model'!P$27</f>
        <v>403</v>
      </c>
      <c r="Q5" s="24">
        <f>'Revenue Model'!Q$27</f>
        <v>441</v>
      </c>
      <c r="R5" s="24">
        <f>'Revenue Model'!R$27</f>
        <v>469</v>
      </c>
      <c r="S5" s="24">
        <f>'Revenue Model'!S$27</f>
        <v>590</v>
      </c>
      <c r="T5" s="24">
        <f>'Revenue Model'!T$27</f>
        <v>643</v>
      </c>
      <c r="U5" s="24">
        <f>'Revenue Model'!U$27</f>
        <v>643</v>
      </c>
      <c r="V5" s="24">
        <f>'Revenue Model'!V$27</f>
        <v>693</v>
      </c>
      <c r="W5" s="24">
        <f>'Revenue Model'!W$27</f>
        <v>720</v>
      </c>
      <c r="X5" s="24">
        <f>'Revenue Model'!X$27</f>
        <v>828</v>
      </c>
      <c r="Y5" s="24">
        <f>'Revenue Model'!Y$27</f>
        <v>894</v>
      </c>
      <c r="Z5" s="24">
        <f>'Revenue Model'!Z$27</f>
        <v>968</v>
      </c>
      <c r="AA5" s="24">
        <f>'Revenue Model'!AA$27</f>
        <v>968</v>
      </c>
      <c r="AB5" s="24">
        <f>'Revenue Model'!AB$27</f>
        <v>968</v>
      </c>
      <c r="AC5" s="24">
        <f>'Revenue Model'!AC$27</f>
        <v>1121</v>
      </c>
      <c r="AD5" s="24">
        <f>'Revenue Model'!AD$27</f>
        <v>1121</v>
      </c>
      <c r="AE5" s="24">
        <f>'Revenue Model'!AE$27</f>
        <v>1149</v>
      </c>
      <c r="AF5" s="24">
        <f>'Revenue Model'!AF$27</f>
        <v>1324</v>
      </c>
      <c r="AG5" s="24">
        <f>'Revenue Model'!AG$27</f>
        <v>1324</v>
      </c>
      <c r="AH5" s="24">
        <f>'Revenue Model'!AH$27</f>
        <v>1352</v>
      </c>
      <c r="AI5" s="24">
        <f>'Revenue Model'!AI$27</f>
        <v>1477</v>
      </c>
      <c r="AJ5" s="24">
        <f>'Revenue Model'!AJ$27</f>
        <v>1505</v>
      </c>
      <c r="AK5" s="24">
        <f>'Revenue Model'!AK$27</f>
        <v>1505</v>
      </c>
      <c r="AL5" s="3"/>
    </row>
    <row r="6" spans="1:38" ht="14.25" customHeight="1" x14ac:dyDescent="0.45">
      <c r="A6" s="25" t="s">
        <v>40</v>
      </c>
      <c r="B6" s="26">
        <f>'Revenue Model'!B$28</f>
        <v>0</v>
      </c>
      <c r="C6" s="26">
        <f>'Revenue Model'!C$28</f>
        <v>0</v>
      </c>
      <c r="D6" s="26">
        <f>'Revenue Model'!D$28</f>
        <v>0</v>
      </c>
      <c r="E6" s="26">
        <f>'Revenue Model'!E$28</f>
        <v>242</v>
      </c>
      <c r="F6" s="26">
        <f>'Revenue Model'!F$28</f>
        <v>386</v>
      </c>
      <c r="G6" s="26">
        <f>'Revenue Model'!G$28</f>
        <v>602</v>
      </c>
      <c r="H6" s="26">
        <f>'Revenue Model'!H$28</f>
        <v>866</v>
      </c>
      <c r="I6" s="26">
        <f>'Revenue Model'!I$28</f>
        <v>1129</v>
      </c>
      <c r="J6" s="26">
        <f>'Revenue Model'!J$28</f>
        <v>1410</v>
      </c>
      <c r="K6" s="26">
        <f>'Revenue Model'!K$28</f>
        <v>1690</v>
      </c>
      <c r="L6" s="26">
        <f>'Revenue Model'!L$28</f>
        <v>1969</v>
      </c>
      <c r="M6" s="26">
        <f>'Revenue Model'!M$28</f>
        <v>2247</v>
      </c>
      <c r="N6" s="26">
        <f>'Revenue Model'!N$28</f>
        <v>2566</v>
      </c>
      <c r="O6" s="26">
        <f>'Revenue Model'!O$28</f>
        <v>2909</v>
      </c>
      <c r="P6" s="26">
        <f>'Revenue Model'!P$28</f>
        <v>3300</v>
      </c>
      <c r="Q6" s="26">
        <f>'Revenue Model'!Q$28</f>
        <v>3728</v>
      </c>
      <c r="R6" s="26">
        <f>'Revenue Model'!R$28</f>
        <v>4182</v>
      </c>
      <c r="S6" s="26">
        <f>'Revenue Model'!S$28</f>
        <v>4755</v>
      </c>
      <c r="T6" s="26">
        <f>'Revenue Model'!T$28</f>
        <v>5379</v>
      </c>
      <c r="U6" s="26">
        <f>'Revenue Model'!U$28</f>
        <v>6000</v>
      </c>
      <c r="V6" s="26">
        <f>'Revenue Model'!V$28</f>
        <v>6669</v>
      </c>
      <c r="W6" s="26">
        <f>'Revenue Model'!W$28</f>
        <v>7362</v>
      </c>
      <c r="X6" s="26">
        <f>'Revenue Model'!X$28</f>
        <v>8161</v>
      </c>
      <c r="Y6" s="26">
        <f>'Revenue Model'!Y$28</f>
        <v>9022</v>
      </c>
      <c r="Z6" s="26">
        <f>'Revenue Model'!Z$28</f>
        <v>9954</v>
      </c>
      <c r="AA6" s="26">
        <f>'Revenue Model'!AA$28</f>
        <v>10882</v>
      </c>
      <c r="AB6" s="26">
        <f>'Revenue Model'!AB$28</f>
        <v>11806</v>
      </c>
      <c r="AC6" s="26">
        <f>'Revenue Model'!AC$28</f>
        <v>12880</v>
      </c>
      <c r="AD6" s="26">
        <f>'Revenue Model'!AD$28</f>
        <v>13949</v>
      </c>
      <c r="AE6" s="26">
        <f>'Revenue Model'!AE$28</f>
        <v>15042</v>
      </c>
      <c r="AF6" s="26">
        <f>'Revenue Model'!AF$28</f>
        <v>16306</v>
      </c>
      <c r="AG6" s="26">
        <f>'Revenue Model'!AG$28</f>
        <v>17565</v>
      </c>
      <c r="AH6" s="26">
        <f>'Revenue Model'!AH$28</f>
        <v>18847</v>
      </c>
      <c r="AI6" s="26">
        <f>'Revenue Model'!AI$28</f>
        <v>20249</v>
      </c>
      <c r="AJ6" s="26">
        <f>'Revenue Model'!AJ$28</f>
        <v>21673</v>
      </c>
      <c r="AK6" s="26">
        <f>'Revenue Model'!AK$28</f>
        <v>23091</v>
      </c>
      <c r="AL6" s="3"/>
    </row>
    <row r="7" spans="1:38" ht="14.25" customHeight="1" x14ac:dyDescent="0.45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3"/>
    </row>
    <row r="8" spans="1:38" ht="14.25" customHeight="1" x14ac:dyDescent="0.45">
      <c r="A8" s="157" t="s">
        <v>41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9"/>
      <c r="AL8" s="4"/>
    </row>
    <row r="9" spans="1:38" ht="14.25" customHeight="1" x14ac:dyDescent="0.45">
      <c r="A9" s="25" t="s">
        <v>42</v>
      </c>
      <c r="B9" s="27">
        <f>'Revenue Model'!B$31</f>
        <v>0</v>
      </c>
      <c r="C9" s="27">
        <f>'Revenue Model'!C$31</f>
        <v>0</v>
      </c>
      <c r="D9" s="27">
        <f>'Revenue Model'!D$31</f>
        <v>0</v>
      </c>
      <c r="E9" s="27">
        <f>'Revenue Model'!E$31</f>
        <v>7150</v>
      </c>
      <c r="F9" s="27">
        <f>'Revenue Model'!F$31</f>
        <v>10709.503448275862</v>
      </c>
      <c r="G9" s="27">
        <f>'Revenue Model'!G$31</f>
        <v>17899.83486238532</v>
      </c>
      <c r="H9" s="27">
        <f>'Revenue Model'!H$31</f>
        <v>25452.586466165412</v>
      </c>
      <c r="I9" s="27">
        <f>'Revenue Model'!I$31</f>
        <v>33182.413533834588</v>
      </c>
      <c r="J9" s="27">
        <f>'Revenue Model'!J$31</f>
        <v>41402.727272727272</v>
      </c>
      <c r="K9" s="27">
        <f>'Revenue Model'!K$31</f>
        <v>49624.545454545456</v>
      </c>
      <c r="L9" s="27">
        <f>'Revenue Model'!L$31</f>
        <v>57817</v>
      </c>
      <c r="M9" s="27">
        <f>'Revenue Model'!M$31</f>
        <v>65980.090909090912</v>
      </c>
      <c r="N9" s="27">
        <f>'Revenue Model'!N$31</f>
        <v>79170.487804878052</v>
      </c>
      <c r="O9" s="27">
        <f>'Revenue Model'!O$31</f>
        <v>89371.402266288947</v>
      </c>
      <c r="P9" s="27">
        <f>'Revenue Model'!P$31</f>
        <v>101383.85269121813</v>
      </c>
      <c r="Q9" s="27">
        <f>'Revenue Model'!Q$31</f>
        <v>113508.5421994885</v>
      </c>
      <c r="R9" s="27">
        <f>'Revenue Model'!R$31</f>
        <v>126507.99522673032</v>
      </c>
      <c r="S9" s="27">
        <f>'Revenue Model'!S$31</f>
        <v>143620.4081632653</v>
      </c>
      <c r="T9" s="27">
        <f>'Revenue Model'!T$31</f>
        <v>161419.53038674034</v>
      </c>
      <c r="U9" s="27">
        <f>'Revenue Model'!U$31</f>
        <v>180055.24861878454</v>
      </c>
      <c r="V9" s="27">
        <f>'Revenue Model'!V$31</f>
        <v>200131.408839779</v>
      </c>
      <c r="W9" s="27">
        <f>'Revenue Model'!W$31</f>
        <v>220214.21052631579</v>
      </c>
      <c r="X9" s="27">
        <f>'Revenue Model'!X$31</f>
        <v>247598.48082595872</v>
      </c>
      <c r="Y9" s="27">
        <f>'Revenue Model'!Y$31</f>
        <v>275874.32795698923</v>
      </c>
      <c r="Z9" s="27">
        <f>'Revenue Model'!Z$31</f>
        <v>309107.61803084222</v>
      </c>
      <c r="AA9" s="27">
        <f>'Revenue Model'!AA$31</f>
        <v>337831.58481613285</v>
      </c>
      <c r="AB9" s="27">
        <f>'Revenue Model'!AB$31</f>
        <v>366431.74139976274</v>
      </c>
      <c r="AC9" s="27">
        <f>'Revenue Model'!AC$31</f>
        <v>399887.94489092997</v>
      </c>
      <c r="AD9" s="27">
        <f>'Revenue Model'!AD$31</f>
        <v>432909.12169919629</v>
      </c>
      <c r="AE9" s="27">
        <f>'Revenue Model'!AE$31</f>
        <v>465801.01668520574</v>
      </c>
      <c r="AF9" s="27">
        <f>'Revenue Model'!AF$31</f>
        <v>507450.89210233593</v>
      </c>
      <c r="AG9" s="27">
        <f>'Revenue Model'!AG$31</f>
        <v>546267.02447163512</v>
      </c>
      <c r="AH9" s="27">
        <f>'Revenue Model'!AH$31</f>
        <v>584773.47680690396</v>
      </c>
      <c r="AI9" s="27">
        <f>'Revenue Model'!AI$31</f>
        <v>630198.94390507007</v>
      </c>
      <c r="AJ9" s="27">
        <f>'Revenue Model'!AJ$31</f>
        <v>672923.76230366493</v>
      </c>
      <c r="AK9" s="27">
        <f>'Revenue Model'!AK$31</f>
        <v>716489.77068062825</v>
      </c>
      <c r="AL9" s="5"/>
    </row>
    <row r="10" spans="1:38" ht="14.25" customHeight="1" x14ac:dyDescent="0.45">
      <c r="A10" s="28" t="s">
        <v>43</v>
      </c>
      <c r="B10" s="29">
        <f>'Revenue Model'!B$32</f>
        <v>0</v>
      </c>
      <c r="C10" s="29">
        <f>'Revenue Model'!C$32</f>
        <v>0</v>
      </c>
      <c r="D10" s="29">
        <f>'Revenue Model'!D$32</f>
        <v>0</v>
      </c>
      <c r="E10" s="29">
        <f>'Revenue Model'!E$32</f>
        <v>85800</v>
      </c>
      <c r="F10" s="29">
        <f>'Revenue Model'!F$32</f>
        <v>128514.04137931034</v>
      </c>
      <c r="G10" s="29">
        <f>'Revenue Model'!G$32</f>
        <v>214798.01834862382</v>
      </c>
      <c r="H10" s="29">
        <f>'Revenue Model'!H$32</f>
        <v>305431.03759398498</v>
      </c>
      <c r="I10" s="29">
        <f>'Revenue Model'!I$32</f>
        <v>398188.96240601502</v>
      </c>
      <c r="J10" s="29">
        <f>'Revenue Model'!J$32</f>
        <v>496832.72727272729</v>
      </c>
      <c r="K10" s="29">
        <f>'Revenue Model'!K$32</f>
        <v>595494.54545454541</v>
      </c>
      <c r="L10" s="29">
        <f>'Revenue Model'!L$32</f>
        <v>693804</v>
      </c>
      <c r="M10" s="29">
        <f>'Revenue Model'!M$32</f>
        <v>791761.09090909094</v>
      </c>
      <c r="N10" s="29">
        <f>'Revenue Model'!N$32</f>
        <v>950045.85365853668</v>
      </c>
      <c r="O10" s="29">
        <f>'Revenue Model'!O$32</f>
        <v>1072456.8271954674</v>
      </c>
      <c r="P10" s="29">
        <f>'Revenue Model'!P$32</f>
        <v>1216606.2322946175</v>
      </c>
      <c r="Q10" s="29">
        <f>'Revenue Model'!Q$32</f>
        <v>1362102.506393862</v>
      </c>
      <c r="R10" s="29">
        <f>'Revenue Model'!R$32</f>
        <v>1518095.9427207639</v>
      </c>
      <c r="S10" s="29">
        <f>'Revenue Model'!S$32</f>
        <v>1723444.8979591834</v>
      </c>
      <c r="T10" s="29">
        <f>'Revenue Model'!T$32</f>
        <v>1937034.3646408841</v>
      </c>
      <c r="U10" s="29">
        <f>'Revenue Model'!U$32</f>
        <v>2160662.9834254142</v>
      </c>
      <c r="V10" s="29">
        <f>'Revenue Model'!V$32</f>
        <v>2401576.9060773482</v>
      </c>
      <c r="W10" s="29">
        <f>'Revenue Model'!W$32</f>
        <v>2642570.5263157897</v>
      </c>
      <c r="X10" s="29">
        <f>'Revenue Model'!X$32</f>
        <v>2971181.7699115044</v>
      </c>
      <c r="Y10" s="29">
        <f>'Revenue Model'!Y$32</f>
        <v>3310491.935483871</v>
      </c>
      <c r="Z10" s="29">
        <f>'Revenue Model'!Z$32</f>
        <v>3709291.4163701069</v>
      </c>
      <c r="AA10" s="29">
        <f>'Revenue Model'!AA$32</f>
        <v>4053979.0177935939</v>
      </c>
      <c r="AB10" s="29">
        <f>'Revenue Model'!AB$32</f>
        <v>4397180.8967971532</v>
      </c>
      <c r="AC10" s="29">
        <f>'Revenue Model'!AC$32</f>
        <v>4798655.3386911601</v>
      </c>
      <c r="AD10" s="29">
        <f>'Revenue Model'!AD$32</f>
        <v>5194909.4603903554</v>
      </c>
      <c r="AE10" s="29">
        <f>'Revenue Model'!AE$32</f>
        <v>5589612.2002224689</v>
      </c>
      <c r="AF10" s="29">
        <f>'Revenue Model'!AF$32</f>
        <v>6089410.7052280307</v>
      </c>
      <c r="AG10" s="29">
        <f>'Revenue Model'!AG$32</f>
        <v>6555204.2936596218</v>
      </c>
      <c r="AH10" s="29">
        <f>'Revenue Model'!AH$32</f>
        <v>7017281.7216828475</v>
      </c>
      <c r="AI10" s="29">
        <f>'Revenue Model'!AI$32</f>
        <v>7562387.3268608414</v>
      </c>
      <c r="AJ10" s="29">
        <f>'Revenue Model'!AJ$32</f>
        <v>8075085.1476439796</v>
      </c>
      <c r="AK10" s="29">
        <f>'Revenue Model'!AK$32</f>
        <v>8597877.248167539</v>
      </c>
      <c r="AL10" s="6"/>
    </row>
    <row r="11" spans="1:38" ht="14.25" customHeight="1" x14ac:dyDescent="0.45">
      <c r="A11" s="157" t="s">
        <v>44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9"/>
      <c r="AL11" s="4"/>
    </row>
    <row r="12" spans="1:38" ht="14.25" customHeight="1" x14ac:dyDescent="0.45">
      <c r="A12" s="25" t="s">
        <v>45</v>
      </c>
      <c r="B12" s="27">
        <f>'COGS Analysis'!B$20</f>
        <v>0</v>
      </c>
      <c r="C12" s="27">
        <f>'COGS Analysis'!C$20</f>
        <v>0</v>
      </c>
      <c r="D12" s="27">
        <f>'COGS Analysis'!D$20</f>
        <v>0</v>
      </c>
      <c r="E12" s="27">
        <f>'COGS Analysis'!E$20</f>
        <v>3193.93</v>
      </c>
      <c r="F12" s="27">
        <f>'COGS Analysis'!F$20</f>
        <v>3943.7156</v>
      </c>
      <c r="G12" s="27">
        <f>'COGS Analysis'!G$20</f>
        <v>5122.0752110091744</v>
      </c>
      <c r="H12" s="27">
        <f>'COGS Analysis'!H$20</f>
        <v>6526.4650075187974</v>
      </c>
      <c r="I12" s="27">
        <f>'COGS Analysis'!I$20</f>
        <v>7931.4999924812018</v>
      </c>
      <c r="J12" s="27">
        <f>'COGS Analysis'!J$20</f>
        <v>9431.5790909090902</v>
      </c>
      <c r="K12" s="27">
        <f>'COGS Analysis'!K$20</f>
        <v>10927.211818181819</v>
      </c>
      <c r="L12" s="27">
        <f>'COGS Analysis'!L$20</f>
        <v>12417.502999999999</v>
      </c>
      <c r="M12" s="27">
        <f>'COGS Analysis'!M$20</f>
        <v>13902.452636363636</v>
      </c>
      <c r="N12" s="27">
        <f>'COGS Analysis'!N$20</f>
        <v>15321.812146341465</v>
      </c>
      <c r="O12" s="27">
        <f>'COGS Analysis'!O$20</f>
        <v>16817.452665722383</v>
      </c>
      <c r="P12" s="27">
        <f>'COGS Analysis'!P$20</f>
        <v>18533.531728045324</v>
      </c>
      <c r="Q12" s="27">
        <f>'COGS Analysis'!Q$20</f>
        <v>20631.291723785169</v>
      </c>
      <c r="R12" s="27">
        <f>'COGS Analysis'!R$20</f>
        <v>22596.367861575181</v>
      </c>
      <c r="S12" s="27">
        <f>'COGS Analysis'!S$20</f>
        <v>25096.981836734696</v>
      </c>
      <c r="T12" s="27">
        <f>'COGS Analysis'!T$20</f>
        <v>27795.908381215471</v>
      </c>
      <c r="U12" s="27">
        <f>'COGS Analysis'!U$20</f>
        <v>30508.602209944751</v>
      </c>
      <c r="V12" s="27">
        <f>'COGS Analysis'!V$20</f>
        <v>33430.97285635359</v>
      </c>
      <c r="W12" s="27">
        <f>'COGS Analysis'!W$20</f>
        <v>36437.488105263161</v>
      </c>
      <c r="X12" s="27">
        <f>'COGS Analysis'!X$20</f>
        <v>40026.533943952803</v>
      </c>
      <c r="Y12" s="27">
        <f>'COGS Analysis'!Y$20</f>
        <v>43858.311510752683</v>
      </c>
      <c r="Z12" s="27">
        <f>'COGS Analysis'!Z$20</f>
        <v>42291.864922894427</v>
      </c>
      <c r="AA12" s="27">
        <f>'COGS Analysis'!AA$20</f>
        <v>45571.067959667853</v>
      </c>
      <c r="AB12" s="27">
        <f>'COGS Analysis'!AB$20</f>
        <v>48836.136500593122</v>
      </c>
      <c r="AC12" s="27">
        <f>'COGS Analysis'!AC$20</f>
        <v>52637.430401836958</v>
      </c>
      <c r="AD12" s="27">
        <f>'COGS Analysis'!AD$20</f>
        <v>56412.928529276702</v>
      </c>
      <c r="AE12" s="27">
        <f>'COGS Analysis'!AE$20</f>
        <v>60247.941483870964</v>
      </c>
      <c r="AF12" s="27">
        <f>'COGS Analysis'!AF$20</f>
        <v>64787.691870967756</v>
      </c>
      <c r="AG12" s="27">
        <f>'COGS Analysis'!AG$20</f>
        <v>69232.083709677419</v>
      </c>
      <c r="AH12" s="27">
        <f>'COGS Analysis'!AH$20</f>
        <v>73728.122827400221</v>
      </c>
      <c r="AI12" s="27">
        <f>'COGS Analysis'!AI$20</f>
        <v>78741.133373247038</v>
      </c>
      <c r="AJ12" s="27">
        <f>'COGS Analysis'!AJ$20</f>
        <v>83733.81710680628</v>
      </c>
      <c r="AK12" s="27">
        <f>'COGS Analysis'!AK$20</f>
        <v>88735.079349738226</v>
      </c>
      <c r="AL12" s="7"/>
    </row>
    <row r="13" spans="1:38" ht="14.25" customHeight="1" x14ac:dyDescent="0.45">
      <c r="A13" s="28" t="s">
        <v>46</v>
      </c>
      <c r="B13" s="30">
        <f>'COGS Analysis'!B$23</f>
        <v>0</v>
      </c>
      <c r="C13" s="30">
        <f>'COGS Analysis'!C$23</f>
        <v>0</v>
      </c>
      <c r="D13" s="30">
        <f>'COGS Analysis'!D$23</f>
        <v>0</v>
      </c>
      <c r="E13" s="30">
        <f>'COGS Analysis'!E$23</f>
        <v>0.5532965034965035</v>
      </c>
      <c r="F13" s="30">
        <f>'COGS Analysis'!F$23</f>
        <v>0.63175551331141278</v>
      </c>
      <c r="G13" s="30">
        <f>'COGS Analysis'!G$23</f>
        <v>0.71384790695624267</v>
      </c>
      <c r="H13" s="30">
        <f>'COGS Analysis'!H$23</f>
        <v>0.74358342653330944</v>
      </c>
      <c r="I13" s="30">
        <f>'COGS Analysis'!I$23</f>
        <v>0.76097278203124641</v>
      </c>
      <c r="J13" s="30">
        <f>'COGS Analysis'!J$23</f>
        <v>0.77219908657752012</v>
      </c>
      <c r="K13" s="30">
        <f>'COGS Analysis'!K$23</f>
        <v>0.77980227893088094</v>
      </c>
      <c r="L13" s="30">
        <f>'COGS Analysis'!L$23</f>
        <v>0.785227476347787</v>
      </c>
      <c r="M13" s="30">
        <f>'COGS Analysis'!M$23</f>
        <v>0.78929321792661966</v>
      </c>
      <c r="N13" s="30">
        <f>'COGS Analysis'!N$23</f>
        <v>0.80647066133906753</v>
      </c>
      <c r="O13" s="30">
        <f>'COGS Analysis'!O$23</f>
        <v>0.81182512258660211</v>
      </c>
      <c r="P13" s="30">
        <f>'COGS Analysis'!P$23</f>
        <v>0.81719444234879912</v>
      </c>
      <c r="Q13" s="30">
        <f>'COGS Analysis'!Q$23</f>
        <v>0.8182401841834408</v>
      </c>
      <c r="R13" s="30">
        <f>'COGS Analysis'!R$23</f>
        <v>0.82138387521612766</v>
      </c>
      <c r="S13" s="30">
        <f>'COGS Analysis'!S$23</f>
        <v>0.82525476596470293</v>
      </c>
      <c r="T13" s="30">
        <f>'COGS Analysis'!T$23</f>
        <v>0.82780331280471409</v>
      </c>
      <c r="U13" s="30">
        <f>'COGS Analysis'!U$23</f>
        <v>0.83055977293648364</v>
      </c>
      <c r="V13" s="30">
        <f>'COGS Analysis'!V$23</f>
        <v>0.83295489173756965</v>
      </c>
      <c r="W13" s="30">
        <f>'COGS Analysis'!W$23</f>
        <v>0.8345361635919093</v>
      </c>
      <c r="X13" s="30">
        <f>'COGS Analysis'!X$23</f>
        <v>0.83834095503967099</v>
      </c>
      <c r="Y13" s="30">
        <f>'COGS Analysis'!Y$23</f>
        <v>0.84102068563048571</v>
      </c>
      <c r="Z13" s="30">
        <f>'COGS Analysis'!Z$23</f>
        <v>0.8631807744101776</v>
      </c>
      <c r="AA13" s="30">
        <f>'COGS Analysis'!AA$23</f>
        <v>0.8651071421149974</v>
      </c>
      <c r="AB13" s="30">
        <f>'COGS Analysis'!AB$23</f>
        <v>0.86672514691538471</v>
      </c>
      <c r="AC13" s="30">
        <f>'COGS Analysis'!AC$23</f>
        <v>0.86836954933414179</v>
      </c>
      <c r="AD13" s="30">
        <f>'COGS Analysis'!AD$23</f>
        <v>0.86968875059076534</v>
      </c>
      <c r="AE13" s="30">
        <f>'COGS Analysis'!AE$23</f>
        <v>0.87065734224322811</v>
      </c>
      <c r="AF13" s="30">
        <f>'COGS Analysis'!AF$23</f>
        <v>0.87232716923098397</v>
      </c>
      <c r="AG13" s="30">
        <f>'COGS Analysis'!AG$23</f>
        <v>0.87326329320968865</v>
      </c>
      <c r="AH13" s="30">
        <f>'COGS Analysis'!AH$23</f>
        <v>0.8739202002970704</v>
      </c>
      <c r="AI13" s="30">
        <f>'COGS Analysis'!AI$23</f>
        <v>0.87505353010380771</v>
      </c>
      <c r="AJ13" s="30">
        <f>'COGS Analysis'!AJ$23</f>
        <v>0.87556715664170526</v>
      </c>
      <c r="AK13" s="30">
        <f>'COGS Analysis'!AK$23</f>
        <v>0.8761530408655458</v>
      </c>
      <c r="AL13" s="8"/>
    </row>
    <row r="14" spans="1:38" ht="14.25" customHeight="1" x14ac:dyDescent="0.45">
      <c r="A14" s="157" t="s">
        <v>47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9"/>
      <c r="AL14" s="4"/>
    </row>
    <row r="15" spans="1:38" ht="14.25" customHeight="1" x14ac:dyDescent="0.45">
      <c r="A15" s="25" t="s">
        <v>48</v>
      </c>
      <c r="B15" s="27">
        <f>'P&amp;L Statement'!B$17</f>
        <v>-68375</v>
      </c>
      <c r="C15" s="27">
        <f>'P&amp;L Statement'!C$17</f>
        <v>-62375</v>
      </c>
      <c r="D15" s="27">
        <f>'P&amp;L Statement'!D$17</f>
        <v>-62375</v>
      </c>
      <c r="E15" s="27">
        <f>'P&amp;L Statement'!E$17</f>
        <v>-87246.571025641009</v>
      </c>
      <c r="F15" s="27">
        <f>'P&amp;L Statement'!F$17</f>
        <v>-83023.745485057458</v>
      </c>
      <c r="G15" s="27">
        <f>'P&amp;L Statement'!G$17</f>
        <v>-81708.146459271607</v>
      </c>
      <c r="H15" s="27">
        <f>'P&amp;L Statement'!H$17</f>
        <v>-75528.08879776363</v>
      </c>
      <c r="I15" s="27">
        <f>'P&amp;L Statement'!I$17</f>
        <v>-78203.296715056873</v>
      </c>
      <c r="J15" s="27">
        <f>'P&amp;L Statement'!J$17</f>
        <v>-71011.778158508154</v>
      </c>
      <c r="K15" s="27">
        <f>'P&amp;L Statement'!K$17</f>
        <v>-76975.479184149182</v>
      </c>
      <c r="L15" s="27">
        <f>'P&amp;L Statement'!L$17</f>
        <v>-68468.946589743573</v>
      </c>
      <c r="M15" s="27">
        <f>'P&amp;L Statement'!M$17</f>
        <v>-64930.513289044276</v>
      </c>
      <c r="N15" s="27">
        <f>'P&amp;L Statement'!N$17</f>
        <v>-78131.283315822395</v>
      </c>
      <c r="O15" s="27">
        <f>'P&amp;L Statement'!O$17</f>
        <v>-76251.009373792418</v>
      </c>
      <c r="P15" s="27">
        <f>'P&amp;L Statement'!P$17</f>
        <v>-68009.992118834896</v>
      </c>
      <c r="Q15" s="27">
        <f>'P&amp;L Statement'!Q$17</f>
        <v>-75875.406593893742</v>
      </c>
      <c r="R15" s="27">
        <f>'P&amp;L Statement'!R$17</f>
        <v>-63852.758275870539</v>
      </c>
      <c r="S15" s="27">
        <f>'P&amp;L Statement'!S$17</f>
        <v>-80573.985028780764</v>
      </c>
      <c r="T15" s="27">
        <f>'P&amp;L Statement'!T$17</f>
        <v>-56603.361327808467</v>
      </c>
      <c r="U15" s="27">
        <f>'P&amp;L Statement'!U$17</f>
        <v>-47159.503591160232</v>
      </c>
      <c r="V15" s="27">
        <f>'P&amp;L Statement'!V$17</f>
        <v>-37612.021640883991</v>
      </c>
      <c r="W15" s="27">
        <f>'P&amp;L Statement'!W$17</f>
        <v>-13839.571085440897</v>
      </c>
      <c r="X15" s="27">
        <f>'P&amp;L Statement'!X$17</f>
        <v>-5774.7281179941201</v>
      </c>
      <c r="Y15" s="27">
        <f>'P&amp;L Statement'!Y$17</f>
        <v>-1698.3863577336888</v>
      </c>
      <c r="Z15" s="27">
        <f>'P&amp;L Statement'!Z$17</f>
        <v>-12632.037558718934</v>
      </c>
      <c r="AA15" s="27">
        <f>'P&amp;L Statement'!AA$17</f>
        <v>6237.7261897983262</v>
      </c>
      <c r="AB15" s="27">
        <f>'P&amp;L Statement'!AB$17</f>
        <v>-8854.7569181494764</v>
      </c>
      <c r="AC15" s="27">
        <f>'P&amp;L Statement'!AC$17</f>
        <v>47454.511701214185</v>
      </c>
      <c r="AD15" s="27">
        <f>'P&amp;L Statement'!AD$17</f>
        <v>74554.610836586275</v>
      </c>
      <c r="AE15" s="27">
        <f>'P&amp;L Statement'!AE$17</f>
        <v>50103.601738683996</v>
      </c>
      <c r="AF15" s="27">
        <f>'P&amp;L Statement'!AF$17</f>
        <v>115245.37623136817</v>
      </c>
      <c r="AG15" s="27">
        <f>'P&amp;L Statement'!AG$17</f>
        <v>145742.11676195764</v>
      </c>
      <c r="AH15" s="27">
        <f>'P&amp;L Statement'!AH$17</f>
        <v>146666.12137108948</v>
      </c>
      <c r="AI15" s="27">
        <f>'P&amp;L Statement'!AI$17</f>
        <v>207664.98653182306</v>
      </c>
      <c r="AJ15" s="27">
        <f>'P&amp;L Statement'!AJ$17</f>
        <v>247397.12119685858</v>
      </c>
      <c r="AK15" s="27">
        <f>'P&amp;L Statement'!AK$17</f>
        <v>232639.14775671903</v>
      </c>
      <c r="AL15" s="5"/>
    </row>
    <row r="16" spans="1:38" ht="14.25" customHeight="1" x14ac:dyDescent="0.45">
      <c r="A16" s="28" t="s">
        <v>49</v>
      </c>
      <c r="B16" s="30">
        <f>'P&amp;L Statement'!B$18</f>
        <v>0</v>
      </c>
      <c r="C16" s="30">
        <f>'P&amp;L Statement'!C$18</f>
        <v>0</v>
      </c>
      <c r="D16" s="30">
        <f>'P&amp;L Statement'!D$18</f>
        <v>0</v>
      </c>
      <c r="E16" s="30">
        <f>'P&amp;L Statement'!E$18</f>
        <v>-12.202317625963778</v>
      </c>
      <c r="F16" s="30">
        <f>'P&amp;L Statement'!F$18</f>
        <v>-7.7523431301965324</v>
      </c>
      <c r="G16" s="30">
        <f>'P&amp;L Statement'!G$18</f>
        <v>-4.5647430318462296</v>
      </c>
      <c r="H16" s="30">
        <f>'P&amp;L Statement'!H$18</f>
        <v>-2.9674032891770938</v>
      </c>
      <c r="I16" s="30">
        <f>'P&amp;L Statement'!I$18</f>
        <v>-2.3567693963947667</v>
      </c>
      <c r="J16" s="30">
        <f>'P&amp;L Statement'!J$18</f>
        <v>-1.7151473546836828</v>
      </c>
      <c r="K16" s="30">
        <f>'P&amp;L Statement'!K$18</f>
        <v>-1.5511573653537307</v>
      </c>
      <c r="L16" s="30">
        <f>'P&amp;L Statement'!L$18</f>
        <v>-1.1842355464611372</v>
      </c>
      <c r="M16" s="30">
        <f>'P&amp;L Statement'!M$18</f>
        <v>-0.98409251024687472</v>
      </c>
      <c r="N16" s="30">
        <f>'P&amp;L Statement'!N$18</f>
        <v>-0.98687384001451572</v>
      </c>
      <c r="O16" s="30">
        <f>'P&amp;L Statement'!O$18</f>
        <v>-0.85319249156007071</v>
      </c>
      <c r="P16" s="30">
        <f>'P&amp;L Statement'!P$18</f>
        <v>-0.67081680478222672</v>
      </c>
      <c r="Q16" s="30">
        <f>'P&amp;L Statement'!Q$18</f>
        <v>-0.66845547589312326</v>
      </c>
      <c r="R16" s="30">
        <f>'P&amp;L Statement'!R$18</f>
        <v>-0.50473298672888045</v>
      </c>
      <c r="S16" s="30">
        <f>'P&amp;L Statement'!S$18</f>
        <v>-0.56102044311965471</v>
      </c>
      <c r="T16" s="30">
        <f>'P&amp;L Statement'!T$18</f>
        <v>-0.35065993063041456</v>
      </c>
      <c r="U16" s="30">
        <f>'P&amp;L Statement'!U$18</f>
        <v>-0.26191685026081624</v>
      </c>
      <c r="V16" s="30">
        <f>'P&amp;L Statement'!V$18</f>
        <v>-0.18793662553485238</v>
      </c>
      <c r="W16" s="30">
        <f>'P&amp;L Statement'!W$18</f>
        <v>-6.2845949189037714E-2</v>
      </c>
      <c r="X16" s="30">
        <f>'P&amp;L Statement'!X$18</f>
        <v>-2.3322954562282946E-2</v>
      </c>
      <c r="Y16" s="30">
        <f>'P&amp;L Statement'!Y$18</f>
        <v>-6.1563769645085614E-3</v>
      </c>
      <c r="Z16" s="30">
        <f>'P&amp;L Statement'!Z$18</f>
        <v>-4.0866147651716984E-2</v>
      </c>
      <c r="AA16" s="30">
        <f>'P&amp;L Statement'!AA$18</f>
        <v>1.8464011271158234E-2</v>
      </c>
      <c r="AB16" s="30">
        <f>'P&amp;L Statement'!AB$18</f>
        <v>-2.4164819576831587E-2</v>
      </c>
      <c r="AC16" s="30">
        <f>'P&amp;L Statement'!AC$18</f>
        <v>0.1186695230689124</v>
      </c>
      <c r="AD16" s="30">
        <f>'P&amp;L Statement'!AD$18</f>
        <v>0.17221769442961748</v>
      </c>
      <c r="AE16" s="30">
        <f>'P&amp;L Statement'!AE$18</f>
        <v>0.10756438896427881</v>
      </c>
      <c r="AF16" s="30">
        <f>'P&amp;L Statement'!AF$18</f>
        <v>0.22710646098958284</v>
      </c>
      <c r="AG16" s="30">
        <f>'P&amp;L Statement'!AG$18</f>
        <v>0.26679647541039758</v>
      </c>
      <c r="AH16" s="30">
        <f>'P&amp;L Statement'!AH$18</f>
        <v>0.25080843640847889</v>
      </c>
      <c r="AI16" s="30">
        <f>'P&amp;L Statement'!AI$18</f>
        <v>0.32952290469579815</v>
      </c>
      <c r="AJ16" s="30">
        <f>'P&amp;L Statement'!AJ$18</f>
        <v>0.36764509600601331</v>
      </c>
      <c r="AK16" s="30">
        <f>'P&amp;L Statement'!AK$18</f>
        <v>0.3246929087846207</v>
      </c>
      <c r="AL16" s="7"/>
    </row>
    <row r="17" spans="1:38" ht="14.25" customHeight="1" x14ac:dyDescent="0.45">
      <c r="A17" s="25" t="s">
        <v>50</v>
      </c>
      <c r="B17" s="26">
        <f>'Staffing Plan'!F$33</f>
        <v>3</v>
      </c>
      <c r="C17" s="26">
        <f>'Staffing Plan'!G$33</f>
        <v>3</v>
      </c>
      <c r="D17" s="26">
        <f>'Staffing Plan'!H$33</f>
        <v>3</v>
      </c>
      <c r="E17" s="26">
        <f>'Staffing Plan'!I$33</f>
        <v>5</v>
      </c>
      <c r="F17" s="26">
        <f>'Staffing Plan'!J$33</f>
        <v>5</v>
      </c>
      <c r="G17" s="26">
        <f>'Staffing Plan'!K$33</f>
        <v>5</v>
      </c>
      <c r="H17" s="26">
        <f>'Staffing Plan'!L$33</f>
        <v>5</v>
      </c>
      <c r="I17" s="26">
        <f>'Staffing Plan'!M$33</f>
        <v>6</v>
      </c>
      <c r="J17" s="26">
        <f>'Staffing Plan'!N$33</f>
        <v>6</v>
      </c>
      <c r="K17" s="26">
        <f>'Staffing Plan'!O$33</f>
        <v>7</v>
      </c>
      <c r="L17" s="26">
        <f>'Staffing Plan'!P$33</f>
        <v>7</v>
      </c>
      <c r="M17" s="26">
        <f>'Staffing Plan'!Q$33</f>
        <v>7</v>
      </c>
      <c r="N17" s="26">
        <f>'Staffing Plan'!R$33</f>
        <v>7</v>
      </c>
      <c r="O17" s="26">
        <f>'Staffing Plan'!S$33</f>
        <v>8</v>
      </c>
      <c r="P17" s="26">
        <f>'Staffing Plan'!T$33</f>
        <v>8</v>
      </c>
      <c r="Q17" s="26">
        <f>'Staffing Plan'!U$33</f>
        <v>10</v>
      </c>
      <c r="R17" s="26">
        <f>'Staffing Plan'!V$33</f>
        <v>10</v>
      </c>
      <c r="S17" s="26">
        <f>'Staffing Plan'!W$33</f>
        <v>11</v>
      </c>
      <c r="T17" s="26">
        <f>'Staffing Plan'!X$33</f>
        <v>11</v>
      </c>
      <c r="U17" s="26">
        <f>'Staffing Plan'!Y$33</f>
        <v>12</v>
      </c>
      <c r="V17" s="26">
        <f>'Staffing Plan'!Z$33</f>
        <v>12</v>
      </c>
      <c r="W17" s="26">
        <f>'Staffing Plan'!AA$33</f>
        <v>12</v>
      </c>
      <c r="X17" s="26">
        <f>'Staffing Plan'!AB$33</f>
        <v>13</v>
      </c>
      <c r="Y17" s="26">
        <f>'Staffing Plan'!AC$33</f>
        <v>13</v>
      </c>
      <c r="Z17" s="26">
        <f>'Staffing Plan'!AD$33</f>
        <v>16</v>
      </c>
      <c r="AA17" s="26">
        <f>'Staffing Plan'!AE$33</f>
        <v>17</v>
      </c>
      <c r="AB17" s="26">
        <f>'Staffing Plan'!AF$33</f>
        <v>19</v>
      </c>
      <c r="AC17" s="26">
        <f>'Staffing Plan'!AG$33</f>
        <v>19</v>
      </c>
      <c r="AD17" s="26">
        <f>'Staffing Plan'!AH$33</f>
        <v>19</v>
      </c>
      <c r="AE17" s="26">
        <f>'Staffing Plan'!AI$33</f>
        <v>20</v>
      </c>
      <c r="AF17" s="26">
        <f>'Staffing Plan'!AJ$33</f>
        <v>20</v>
      </c>
      <c r="AG17" s="26">
        <f>'Staffing Plan'!AK$33</f>
        <v>21</v>
      </c>
      <c r="AH17" s="26">
        <f>'Staffing Plan'!AL$33</f>
        <v>21</v>
      </c>
      <c r="AI17" s="26">
        <f>'Staffing Plan'!AM$33</f>
        <v>22</v>
      </c>
      <c r="AJ17" s="26">
        <f>'Staffing Plan'!AN$33</f>
        <v>22</v>
      </c>
      <c r="AK17" s="26">
        <f>'Staffing Plan'!AO$33</f>
        <v>23</v>
      </c>
      <c r="AL17" s="3"/>
    </row>
    <row r="18" spans="1:38" ht="14.25" customHeight="1" x14ac:dyDescent="0.45">
      <c r="A18" s="18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9"/>
    </row>
    <row r="19" spans="1:38" ht="14.25" customHeight="1" x14ac:dyDescent="0.45">
      <c r="A19" s="157" t="s">
        <v>51</v>
      </c>
      <c r="B19" s="158"/>
      <c r="C19" s="158"/>
      <c r="D19" s="158"/>
      <c r="E19" s="158"/>
      <c r="F19" s="159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4"/>
    </row>
    <row r="20" spans="1:38" ht="14.25" customHeight="1" x14ac:dyDescent="0.45">
      <c r="A20" s="33" t="s">
        <v>1</v>
      </c>
      <c r="B20" s="32" t="s">
        <v>52</v>
      </c>
      <c r="C20" s="32" t="s">
        <v>53</v>
      </c>
      <c r="D20" s="32" t="s">
        <v>54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10"/>
    </row>
    <row r="21" spans="1:38" ht="14.25" customHeight="1" x14ac:dyDescent="0.45">
      <c r="A21" s="28" t="s">
        <v>55</v>
      </c>
      <c r="B21" s="29">
        <f>M$9*12</f>
        <v>791761.09090909094</v>
      </c>
      <c r="C21" s="29">
        <f>Y$9*12</f>
        <v>3310491.935483871</v>
      </c>
      <c r="D21" s="29">
        <f>AK$9*12</f>
        <v>8597877.248167539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5"/>
    </row>
    <row r="22" spans="1:38" ht="14.25" customHeight="1" x14ac:dyDescent="0.45">
      <c r="A22" s="25" t="s">
        <v>56</v>
      </c>
      <c r="B22" s="26">
        <f>M$6</f>
        <v>2247</v>
      </c>
      <c r="C22" s="26">
        <f>Y$6</f>
        <v>9022</v>
      </c>
      <c r="D22" s="26">
        <f>AK$6</f>
        <v>23091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3"/>
    </row>
    <row r="23" spans="1:38" ht="14.25" customHeight="1" x14ac:dyDescent="0.45">
      <c r="A23" s="23" t="s">
        <v>46</v>
      </c>
      <c r="B23" s="34">
        <f>'COGS Analysis'!M$23</f>
        <v>0.78929321792661966</v>
      </c>
      <c r="C23" s="34">
        <f>'COGS Analysis'!Y$23</f>
        <v>0.84102068563048571</v>
      </c>
      <c r="D23" s="34">
        <f>'COGS Analysis'!AK$23</f>
        <v>0.8761530408655458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8"/>
    </row>
    <row r="24" spans="1:38" ht="14.25" customHeight="1" x14ac:dyDescent="0.45">
      <c r="A24" s="35" t="s">
        <v>57</v>
      </c>
      <c r="B24" s="36">
        <f>'P&amp;L Statement'!M$17</f>
        <v>-64930.513289044276</v>
      </c>
      <c r="C24" s="36">
        <f>'P&amp;L Statement'!Y$17</f>
        <v>-1698.3863577336888</v>
      </c>
      <c r="D24" s="36">
        <f>'P&amp;L Statement'!AK$17</f>
        <v>232639.14775671903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spans="1:38" ht="14.25" customHeight="1" x14ac:dyDescent="0.45">
      <c r="A25" s="37" t="s">
        <v>49</v>
      </c>
      <c r="B25" s="38">
        <f>'P&amp;L Statement'!M$18</f>
        <v>-0.98409251024687472</v>
      </c>
      <c r="C25" s="38">
        <f>'P&amp;L Statement'!Y$18</f>
        <v>-6.1563769645085614E-3</v>
      </c>
      <c r="D25" s="38">
        <f>'P&amp;L Statement'!AK$18</f>
        <v>0.3246929087846207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</row>
    <row r="26" spans="1:38" ht="14.25" customHeight="1" x14ac:dyDescent="0.45">
      <c r="A26" s="39" t="s">
        <v>58</v>
      </c>
      <c r="B26" s="40">
        <f>M$17</f>
        <v>7</v>
      </c>
      <c r="C26" s="40">
        <f>Y$17</f>
        <v>13</v>
      </c>
      <c r="D26" s="40">
        <f>AK$17</f>
        <v>23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 spans="1:38" ht="14.25" customHeight="1" x14ac:dyDescent="0.45">
      <c r="A27" s="37" t="s">
        <v>59</v>
      </c>
      <c r="B27" s="41">
        <f>'Revenue Model'!M$35</f>
        <v>238</v>
      </c>
      <c r="C27" s="37">
        <f>'Revenue Model'!Y$35-'Revenue Model'!M$35</f>
        <v>452</v>
      </c>
      <c r="D27" s="37">
        <f>'Revenue Model'!AK$35-'Revenue Model'!Y$35</f>
        <v>627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spans="1:38" ht="14.25" customHeight="1" x14ac:dyDescent="0.45">
      <c r="A28" s="35" t="s">
        <v>60</v>
      </c>
      <c r="B28" s="35" t="s">
        <v>61</v>
      </c>
      <c r="C28" s="121">
        <f>(Y$9*12-M$9*12)/(M$9*12)</f>
        <v>3.1811753235850508</v>
      </c>
      <c r="D28" s="121">
        <f>(AK$9*12-Y$9*12)/(Y$9*12)</f>
        <v>1.5971600039287963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</row>
    <row r="29" spans="1:38" x14ac:dyDescent="0.4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8" ht="14.25" customHeight="1" x14ac:dyDescent="0.45">
      <c r="A30" s="42" t="s">
        <v>62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</row>
    <row r="31" spans="1:38" ht="14.25" customHeight="1" x14ac:dyDescent="0.45">
      <c r="A31" s="18" t="s">
        <v>63</v>
      </c>
      <c r="B31" s="43">
        <f>'Model Inputs'!B83</f>
        <v>2500000</v>
      </c>
      <c r="C31" s="18" t="s">
        <v>64</v>
      </c>
      <c r="D31" s="44">
        <f>'P&amp;L Statement'!B22</f>
        <v>36</v>
      </c>
      <c r="E31" s="18" t="s">
        <v>65</v>
      </c>
      <c r="F31" s="43">
        <f>'P&amp;L Statement'!AK21</f>
        <v>2266614.9533069781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8" ht="14.25" customHeight="1" x14ac:dyDescent="0.45">
      <c r="A32" s="18"/>
      <c r="B32" s="4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ht="14.25" customHeight="1" x14ac:dyDescent="0.45">
      <c r="A33" s="18" t="s">
        <v>66</v>
      </c>
      <c r="B33" s="44" t="s">
        <v>67</v>
      </c>
      <c r="C33" s="18" t="s">
        <v>68</v>
      </c>
      <c r="D33" s="18" t="s">
        <v>69</v>
      </c>
      <c r="E33" s="18" t="s">
        <v>70</v>
      </c>
      <c r="F33" s="18" t="s">
        <v>71</v>
      </c>
      <c r="G33" s="18" t="s">
        <v>72</v>
      </c>
      <c r="H33" s="18" t="s">
        <v>73</v>
      </c>
      <c r="I33" s="18" t="s">
        <v>74</v>
      </c>
      <c r="J33" s="18" t="s">
        <v>75</v>
      </c>
      <c r="K33" s="18" t="s">
        <v>76</v>
      </c>
      <c r="L33" s="18" t="s">
        <v>77</v>
      </c>
      <c r="M33" s="18" t="s">
        <v>78</v>
      </c>
      <c r="N33" s="18" t="s">
        <v>79</v>
      </c>
      <c r="O33" s="18" t="s">
        <v>80</v>
      </c>
      <c r="P33" s="18" t="s">
        <v>81</v>
      </c>
      <c r="Q33" s="18" t="s">
        <v>82</v>
      </c>
      <c r="R33" s="18" t="s">
        <v>83</v>
      </c>
      <c r="S33" s="18" t="s">
        <v>84</v>
      </c>
      <c r="T33" s="18" t="s">
        <v>85</v>
      </c>
      <c r="U33" s="18" t="s">
        <v>86</v>
      </c>
      <c r="V33" s="18" t="s">
        <v>87</v>
      </c>
      <c r="W33" s="18" t="s">
        <v>88</v>
      </c>
      <c r="X33" s="18" t="s">
        <v>89</v>
      </c>
      <c r="Y33" s="18" t="s">
        <v>90</v>
      </c>
      <c r="Z33" s="18" t="s">
        <v>91</v>
      </c>
      <c r="AA33" s="18" t="s">
        <v>92</v>
      </c>
      <c r="AB33" s="18" t="s">
        <v>93</v>
      </c>
      <c r="AC33" s="18" t="s">
        <v>94</v>
      </c>
      <c r="AD33" s="18" t="s">
        <v>95</v>
      </c>
      <c r="AE33" s="18" t="s">
        <v>96</v>
      </c>
      <c r="AF33" s="18" t="s">
        <v>97</v>
      </c>
      <c r="AG33" s="18" t="s">
        <v>98</v>
      </c>
      <c r="AH33" s="18" t="s">
        <v>99</v>
      </c>
      <c r="AI33" s="18" t="s">
        <v>100</v>
      </c>
      <c r="AJ33" s="18" t="s">
        <v>101</v>
      </c>
      <c r="AK33" s="18" t="s">
        <v>102</v>
      </c>
    </row>
    <row r="34" spans="1:37" ht="14.25" customHeight="1" x14ac:dyDescent="0.45">
      <c r="A34" s="18" t="s">
        <v>103</v>
      </c>
      <c r="B34" s="43">
        <f>'P&amp;L Statement'!B17</f>
        <v>-68375</v>
      </c>
      <c r="C34" s="43">
        <f>'P&amp;L Statement'!C17</f>
        <v>-62375</v>
      </c>
      <c r="D34" s="43">
        <f>'P&amp;L Statement'!D17</f>
        <v>-62375</v>
      </c>
      <c r="E34" s="43">
        <f>'P&amp;L Statement'!E17</f>
        <v>-87246.571025641009</v>
      </c>
      <c r="F34" s="43">
        <f>'P&amp;L Statement'!F17</f>
        <v>-83023.745485057458</v>
      </c>
      <c r="G34" s="43">
        <f>'P&amp;L Statement'!G17</f>
        <v>-81708.146459271607</v>
      </c>
      <c r="H34" s="43">
        <f>'P&amp;L Statement'!H17</f>
        <v>-75528.08879776363</v>
      </c>
      <c r="I34" s="43">
        <f>'P&amp;L Statement'!I17</f>
        <v>-78203.296715056873</v>
      </c>
      <c r="J34" s="43">
        <f>'P&amp;L Statement'!J17</f>
        <v>-71011.778158508154</v>
      </c>
      <c r="K34" s="43">
        <f>'P&amp;L Statement'!K17</f>
        <v>-76975.479184149182</v>
      </c>
      <c r="L34" s="43">
        <f>'P&amp;L Statement'!L17</f>
        <v>-68468.946589743573</v>
      </c>
      <c r="M34" s="43">
        <f>'P&amp;L Statement'!M17</f>
        <v>-64930.513289044276</v>
      </c>
      <c r="N34" s="43">
        <f>'P&amp;L Statement'!N17</f>
        <v>-78131.283315822395</v>
      </c>
      <c r="O34" s="43">
        <f>'P&amp;L Statement'!O17</f>
        <v>-76251.009373792418</v>
      </c>
      <c r="P34" s="43">
        <f>'P&amp;L Statement'!P17</f>
        <v>-68009.992118834896</v>
      </c>
      <c r="Q34" s="43">
        <f>'P&amp;L Statement'!Q17</f>
        <v>-75875.406593893742</v>
      </c>
      <c r="R34" s="43">
        <f>'P&amp;L Statement'!R17</f>
        <v>-63852.758275870539</v>
      </c>
      <c r="S34" s="43">
        <f>'P&amp;L Statement'!S17</f>
        <v>-80573.985028780764</v>
      </c>
      <c r="T34" s="43">
        <f>'P&amp;L Statement'!T17</f>
        <v>-56603.361327808467</v>
      </c>
      <c r="U34" s="43">
        <f>'P&amp;L Statement'!U17</f>
        <v>-47159.503591160232</v>
      </c>
      <c r="V34" s="43">
        <f>'P&amp;L Statement'!V17</f>
        <v>-37612.021640883991</v>
      </c>
      <c r="W34" s="43">
        <f>'P&amp;L Statement'!W17</f>
        <v>-13839.571085440897</v>
      </c>
      <c r="X34" s="43">
        <f>'P&amp;L Statement'!X17</f>
        <v>-5774.7281179941201</v>
      </c>
      <c r="Y34" s="43">
        <f>'P&amp;L Statement'!Y17</f>
        <v>-1698.3863577336888</v>
      </c>
      <c r="Z34" s="43">
        <f>'P&amp;L Statement'!Z17</f>
        <v>-12632.037558718934</v>
      </c>
      <c r="AA34" s="43">
        <f>'P&amp;L Statement'!AA17</f>
        <v>6237.7261897983262</v>
      </c>
      <c r="AB34" s="43">
        <f>'P&amp;L Statement'!AB17</f>
        <v>-8854.7569181494764</v>
      </c>
      <c r="AC34" s="43">
        <f>'P&amp;L Statement'!AC17</f>
        <v>47454.511701214185</v>
      </c>
      <c r="AD34" s="43">
        <f>'P&amp;L Statement'!AD17</f>
        <v>74554.610836586275</v>
      </c>
      <c r="AE34" s="43">
        <f>'P&amp;L Statement'!AE17</f>
        <v>50103.601738683996</v>
      </c>
      <c r="AF34" s="43">
        <f>'P&amp;L Statement'!AF17</f>
        <v>115245.37623136817</v>
      </c>
      <c r="AG34" s="43">
        <f>'P&amp;L Statement'!AG17</f>
        <v>145742.11676195764</v>
      </c>
      <c r="AH34" s="43">
        <f>'P&amp;L Statement'!AH17</f>
        <v>146666.12137108948</v>
      </c>
      <c r="AI34" s="43">
        <f>'P&amp;L Statement'!AI17</f>
        <v>207664.98653182306</v>
      </c>
      <c r="AJ34" s="43">
        <f>'P&amp;L Statement'!AJ17</f>
        <v>247397.12119685858</v>
      </c>
      <c r="AK34" s="43">
        <f>'P&amp;L Statement'!AK17</f>
        <v>232639.14775671903</v>
      </c>
    </row>
    <row r="35" spans="1:37" ht="14.25" customHeight="1" x14ac:dyDescent="0.45">
      <c r="A35" s="18" t="s">
        <v>104</v>
      </c>
      <c r="B35" s="43">
        <f>'P&amp;L Statement'!B20</f>
        <v>-68375</v>
      </c>
      <c r="C35" s="43">
        <f>'P&amp;L Statement'!C20</f>
        <v>-130750</v>
      </c>
      <c r="D35" s="43">
        <f>'P&amp;L Statement'!D20</f>
        <v>-193125</v>
      </c>
      <c r="E35" s="43">
        <f>'P&amp;L Statement'!E20</f>
        <v>-280371.57102564099</v>
      </c>
      <c r="F35" s="43">
        <f>'P&amp;L Statement'!F20</f>
        <v>-363395.31651069847</v>
      </c>
      <c r="G35" s="43">
        <f>'P&amp;L Statement'!G20</f>
        <v>-445103.46296997007</v>
      </c>
      <c r="H35" s="43">
        <f>'P&amp;L Statement'!H20</f>
        <v>-520631.5517677337</v>
      </c>
      <c r="I35" s="43">
        <f>'P&amp;L Statement'!I20</f>
        <v>-598834.84848279064</v>
      </c>
      <c r="J35" s="43">
        <f>'P&amp;L Statement'!J20</f>
        <v>-669846.62664129876</v>
      </c>
      <c r="K35" s="43">
        <f>'P&amp;L Statement'!K20</f>
        <v>-746822.10582544794</v>
      </c>
      <c r="L35" s="43">
        <f>'P&amp;L Statement'!L20</f>
        <v>-815291.05241519155</v>
      </c>
      <c r="M35" s="43">
        <f>'P&amp;L Statement'!M20</f>
        <v>-880221.56570423581</v>
      </c>
      <c r="N35" s="43">
        <f>'P&amp;L Statement'!N20</f>
        <v>-958352.84902005817</v>
      </c>
      <c r="O35" s="43">
        <f>'P&amp;L Statement'!O20</f>
        <v>-1034603.8583938506</v>
      </c>
      <c r="P35" s="43">
        <f>'P&amp;L Statement'!P20</f>
        <v>-1102613.8505126855</v>
      </c>
      <c r="Q35" s="43">
        <f>'P&amp;L Statement'!Q20</f>
        <v>-1178489.2571065791</v>
      </c>
      <c r="R35" s="43">
        <f>'P&amp;L Statement'!R20</f>
        <v>-1242342.0153824496</v>
      </c>
      <c r="S35" s="43">
        <f>'P&amp;L Statement'!S20</f>
        <v>-1322916.0004112304</v>
      </c>
      <c r="T35" s="43">
        <f>'P&amp;L Statement'!T20</f>
        <v>-1379519.361739039</v>
      </c>
      <c r="U35" s="43">
        <f>'P&amp;L Statement'!U20</f>
        <v>-1426678.8653301992</v>
      </c>
      <c r="V35" s="43">
        <f>'P&amp;L Statement'!V20</f>
        <v>-1464290.8869710832</v>
      </c>
      <c r="W35" s="43">
        <f>'P&amp;L Statement'!W20</f>
        <v>-1478130.4580565242</v>
      </c>
      <c r="X35" s="43">
        <f>'P&amp;L Statement'!X20</f>
        <v>-1483905.1861745182</v>
      </c>
      <c r="Y35" s="43">
        <f>'P&amp;L Statement'!Y20</f>
        <v>-1485603.5725322519</v>
      </c>
      <c r="Z35" s="43">
        <f>'P&amp;L Statement'!Z20</f>
        <v>-1498235.610090971</v>
      </c>
      <c r="AA35" s="43">
        <f>'P&amp;L Statement'!AA20</f>
        <v>-1491997.8839011728</v>
      </c>
      <c r="AB35" s="43">
        <f>'P&amp;L Statement'!AB20</f>
        <v>-1500852.6408193223</v>
      </c>
      <c r="AC35" s="43">
        <f>'P&amp;L Statement'!AC20</f>
        <v>-1453398.1291181082</v>
      </c>
      <c r="AD35" s="43">
        <f>'P&amp;L Statement'!AD20</f>
        <v>-1378843.518281522</v>
      </c>
      <c r="AE35" s="43">
        <f>'P&amp;L Statement'!AE20</f>
        <v>-1328739.9165428379</v>
      </c>
      <c r="AF35" s="43">
        <f>'P&amp;L Statement'!AF20</f>
        <v>-1213494.5403114697</v>
      </c>
      <c r="AG35" s="43">
        <f>'P&amp;L Statement'!AG20</f>
        <v>-1067752.4235495119</v>
      </c>
      <c r="AH35" s="43">
        <f>'P&amp;L Statement'!AH20</f>
        <v>-921086.30217842245</v>
      </c>
      <c r="AI35" s="43">
        <f>'P&amp;L Statement'!AI20</f>
        <v>-713421.3156465994</v>
      </c>
      <c r="AJ35" s="43">
        <f>'P&amp;L Statement'!AJ20</f>
        <v>-466024.19444974081</v>
      </c>
      <c r="AK35" s="43">
        <f>'P&amp;L Statement'!AK20</f>
        <v>-233385.04669302178</v>
      </c>
    </row>
    <row r="36" spans="1:37" ht="14.25" customHeight="1" x14ac:dyDescent="0.45">
      <c r="A36" s="18" t="s">
        <v>105</v>
      </c>
      <c r="B36" s="43">
        <f>'P&amp;L Statement'!B21</f>
        <v>2431625</v>
      </c>
      <c r="C36" s="43">
        <f>'P&amp;L Statement'!C21</f>
        <v>2369250</v>
      </c>
      <c r="D36" s="43">
        <f>'P&amp;L Statement'!D21</f>
        <v>2306875</v>
      </c>
      <c r="E36" s="43">
        <f>'P&amp;L Statement'!E21</f>
        <v>2219628.4289743588</v>
      </c>
      <c r="F36" s="43">
        <f>'P&amp;L Statement'!F21</f>
        <v>2136604.6834893017</v>
      </c>
      <c r="G36" s="43">
        <f>'P&amp;L Statement'!G21</f>
        <v>2054896.53703003</v>
      </c>
      <c r="H36" s="43">
        <f>'P&amp;L Statement'!H21</f>
        <v>1979368.4482322664</v>
      </c>
      <c r="I36" s="43">
        <f>'P&amp;L Statement'!I21</f>
        <v>1901165.1515172094</v>
      </c>
      <c r="J36" s="43">
        <f>'P&amp;L Statement'!J21</f>
        <v>1830153.3733587014</v>
      </c>
      <c r="K36" s="43">
        <f>'P&amp;L Statement'!K21</f>
        <v>1753177.8941745521</v>
      </c>
      <c r="L36" s="43">
        <f>'P&amp;L Statement'!L21</f>
        <v>1684708.9475848083</v>
      </c>
      <c r="M36" s="43">
        <f>'P&amp;L Statement'!M21</f>
        <v>1619778.4342957642</v>
      </c>
      <c r="N36" s="43">
        <f>'P&amp;L Statement'!N21</f>
        <v>1541647.1509799417</v>
      </c>
      <c r="O36" s="43">
        <f>'P&amp;L Statement'!O21</f>
        <v>1465396.1416061493</v>
      </c>
      <c r="P36" s="43">
        <f>'P&amp;L Statement'!P21</f>
        <v>1397386.1494873145</v>
      </c>
      <c r="Q36" s="43">
        <f>'P&amp;L Statement'!Q21</f>
        <v>1321510.7428934209</v>
      </c>
      <c r="R36" s="43">
        <f>'P&amp;L Statement'!R21</f>
        <v>1257657.9846175504</v>
      </c>
      <c r="S36" s="43">
        <f>'P&amp;L Statement'!S21</f>
        <v>1177083.9995887696</v>
      </c>
      <c r="T36" s="43">
        <f>'P&amp;L Statement'!T21</f>
        <v>1120480.638260961</v>
      </c>
      <c r="U36" s="43">
        <f>'P&amp;L Statement'!U21</f>
        <v>1073321.1346698008</v>
      </c>
      <c r="V36" s="43">
        <f>'P&amp;L Statement'!V21</f>
        <v>1035709.1130289168</v>
      </c>
      <c r="W36" s="43">
        <f>'P&amp;L Statement'!W21</f>
        <v>1021869.5419434758</v>
      </c>
      <c r="X36" s="43">
        <f>'P&amp;L Statement'!X21</f>
        <v>1016094.8138254818</v>
      </c>
      <c r="Y36" s="43">
        <f>'P&amp;L Statement'!Y21</f>
        <v>1014396.4274677481</v>
      </c>
      <c r="Z36" s="43">
        <f>'P&amp;L Statement'!Z21</f>
        <v>1001764.389909029</v>
      </c>
      <c r="AA36" s="43">
        <f>'P&amp;L Statement'!AA21</f>
        <v>1008002.1160988272</v>
      </c>
      <c r="AB36" s="43">
        <f>'P&amp;L Statement'!AB21</f>
        <v>999147.35918067768</v>
      </c>
      <c r="AC36" s="43">
        <f>'P&amp;L Statement'!AC21</f>
        <v>1046601.8708818918</v>
      </c>
      <c r="AD36" s="43">
        <f>'P&amp;L Statement'!AD21</f>
        <v>1121156.481718478</v>
      </c>
      <c r="AE36" s="43">
        <f>'P&amp;L Statement'!AE21</f>
        <v>1171260.0834571621</v>
      </c>
      <c r="AF36" s="43">
        <f>'P&amp;L Statement'!AF21</f>
        <v>1286505.4596885303</v>
      </c>
      <c r="AG36" s="43">
        <f>'P&amp;L Statement'!AG21</f>
        <v>1432247.5764504881</v>
      </c>
      <c r="AH36" s="43">
        <f>'P&amp;L Statement'!AH21</f>
        <v>1578913.6978215775</v>
      </c>
      <c r="AI36" s="43">
        <f>'P&amp;L Statement'!AI21</f>
        <v>1786578.6843534005</v>
      </c>
      <c r="AJ36" s="43">
        <f>'P&amp;L Statement'!AJ21</f>
        <v>2033975.8055502591</v>
      </c>
      <c r="AK36" s="43">
        <f>'P&amp;L Statement'!AK21</f>
        <v>2266614.9533069781</v>
      </c>
    </row>
    <row r="37" spans="1:37" ht="15.75" customHeight="1" x14ac:dyDescent="0.5">
      <c r="A37" s="45" t="s">
        <v>106</v>
      </c>
      <c r="B37" s="18" t="str">
        <f t="shared" ref="B37:AK37" si="0">IF(B36&gt;500000,"OK",IF(B36&gt;250000,"Watch",IF(B36&gt;0,"Low","OUT")))</f>
        <v>OK</v>
      </c>
      <c r="C37" s="18" t="str">
        <f t="shared" si="0"/>
        <v>OK</v>
      </c>
      <c r="D37" s="18" t="str">
        <f t="shared" si="0"/>
        <v>OK</v>
      </c>
      <c r="E37" s="18" t="str">
        <f t="shared" si="0"/>
        <v>OK</v>
      </c>
      <c r="F37" s="18" t="str">
        <f t="shared" si="0"/>
        <v>OK</v>
      </c>
      <c r="G37" s="18" t="str">
        <f t="shared" si="0"/>
        <v>OK</v>
      </c>
      <c r="H37" s="18" t="str">
        <f t="shared" si="0"/>
        <v>OK</v>
      </c>
      <c r="I37" s="18" t="str">
        <f t="shared" si="0"/>
        <v>OK</v>
      </c>
      <c r="J37" s="18" t="str">
        <f t="shared" si="0"/>
        <v>OK</v>
      </c>
      <c r="K37" s="18" t="str">
        <f t="shared" si="0"/>
        <v>OK</v>
      </c>
      <c r="L37" s="18" t="str">
        <f t="shared" si="0"/>
        <v>OK</v>
      </c>
      <c r="M37" s="18" t="str">
        <f t="shared" si="0"/>
        <v>OK</v>
      </c>
      <c r="N37" s="18" t="str">
        <f t="shared" si="0"/>
        <v>OK</v>
      </c>
      <c r="O37" s="18" t="str">
        <f t="shared" si="0"/>
        <v>OK</v>
      </c>
      <c r="P37" s="18" t="str">
        <f t="shared" si="0"/>
        <v>OK</v>
      </c>
      <c r="Q37" s="18" t="str">
        <f t="shared" si="0"/>
        <v>OK</v>
      </c>
      <c r="R37" s="18" t="str">
        <f t="shared" si="0"/>
        <v>OK</v>
      </c>
      <c r="S37" s="18" t="str">
        <f t="shared" si="0"/>
        <v>OK</v>
      </c>
      <c r="T37" s="18" t="str">
        <f t="shared" si="0"/>
        <v>OK</v>
      </c>
      <c r="U37" s="18" t="str">
        <f t="shared" si="0"/>
        <v>OK</v>
      </c>
      <c r="V37" s="18" t="str">
        <f t="shared" si="0"/>
        <v>OK</v>
      </c>
      <c r="W37" s="18" t="str">
        <f t="shared" si="0"/>
        <v>OK</v>
      </c>
      <c r="X37" s="18" t="str">
        <f t="shared" si="0"/>
        <v>OK</v>
      </c>
      <c r="Y37" s="18" t="str">
        <f t="shared" si="0"/>
        <v>OK</v>
      </c>
      <c r="Z37" s="18" t="str">
        <f t="shared" si="0"/>
        <v>OK</v>
      </c>
      <c r="AA37" s="18" t="str">
        <f t="shared" si="0"/>
        <v>OK</v>
      </c>
      <c r="AB37" s="18" t="str">
        <f t="shared" si="0"/>
        <v>OK</v>
      </c>
      <c r="AC37" s="18" t="str">
        <f t="shared" si="0"/>
        <v>OK</v>
      </c>
      <c r="AD37" s="18" t="str">
        <f t="shared" si="0"/>
        <v>OK</v>
      </c>
      <c r="AE37" s="18" t="str">
        <f t="shared" si="0"/>
        <v>OK</v>
      </c>
      <c r="AF37" s="18" t="str">
        <f t="shared" si="0"/>
        <v>OK</v>
      </c>
      <c r="AG37" s="18" t="str">
        <f t="shared" si="0"/>
        <v>OK</v>
      </c>
      <c r="AH37" s="18" t="str">
        <f t="shared" si="0"/>
        <v>OK</v>
      </c>
      <c r="AI37" s="18" t="str">
        <f t="shared" si="0"/>
        <v>OK</v>
      </c>
      <c r="AJ37" s="18" t="str">
        <f t="shared" si="0"/>
        <v>OK</v>
      </c>
      <c r="AK37" s="18" t="str">
        <f t="shared" si="0"/>
        <v>OK</v>
      </c>
    </row>
    <row r="38" spans="1:37" ht="14.25" customHeight="1" x14ac:dyDescent="0.45">
      <c r="A38" s="46"/>
      <c r="B38" s="46"/>
      <c r="C38" s="46"/>
      <c r="D38" s="46"/>
      <c r="E38" s="46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4.25" customHeight="1" x14ac:dyDescent="0.45">
      <c r="A39" s="18" t="s">
        <v>107</v>
      </c>
      <c r="B39" s="18" t="s">
        <v>108</v>
      </c>
      <c r="C39" s="18" t="s">
        <v>109</v>
      </c>
      <c r="D39" s="18" t="s">
        <v>110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4.25" customHeight="1" x14ac:dyDescent="0.45">
      <c r="A40" s="18" t="s">
        <v>111</v>
      </c>
      <c r="B40" s="43">
        <f>'P&amp;L Statement'!M21</f>
        <v>1619778.4342957642</v>
      </c>
      <c r="C40" s="43">
        <f>'P&amp;L Statement'!Y21</f>
        <v>1014396.4274677481</v>
      </c>
      <c r="D40" s="43">
        <f>'P&amp;L Statement'!AK21</f>
        <v>2266614.9533069781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14.25" customHeight="1" x14ac:dyDescent="0.45">
      <c r="A41" s="18" t="s">
        <v>112</v>
      </c>
      <c r="B41" s="18">
        <f>SUM('P&amp;L Statement'!B17:M17)</f>
        <v>-880221.56570423581</v>
      </c>
      <c r="C41" s="18">
        <f>SUM('P&amp;L Statement'!N17:Y17)</f>
        <v>-605382.00682801614</v>
      </c>
      <c r="D41" s="18">
        <f>SUM('P&amp;L Statement'!Z17:AK17)</f>
        <v>1252218.5258392305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4.25" customHeight="1" x14ac:dyDescent="0.45">
      <c r="A42" s="18" t="s">
        <v>113</v>
      </c>
      <c r="B42" s="18">
        <f>MIN('P&amp;L Statement'!B21:M21)</f>
        <v>1619778.4342957642</v>
      </c>
      <c r="C42" s="18">
        <f>MIN('P&amp;L Statement'!N21:Y21)</f>
        <v>1014396.4274677481</v>
      </c>
      <c r="D42" s="18">
        <f>MIN('P&amp;L Statement'!Z21:AK21)</f>
        <v>999147.35918067768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14.25" customHeight="1" x14ac:dyDescent="0.4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14.25" customHeight="1" x14ac:dyDescent="0.45">
      <c r="A44" s="18"/>
      <c r="B44" s="18"/>
      <c r="C44" s="43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14.25" customHeight="1" x14ac:dyDescent="0.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14.25" customHeight="1" x14ac:dyDescent="0.45">
      <c r="A46" s="18"/>
      <c r="B46" s="18"/>
      <c r="C46" s="43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14.25" customHeight="1" x14ac:dyDescent="0.4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x14ac:dyDescent="0.4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14.25" customHeight="1" x14ac:dyDescent="0.45">
      <c r="A49" s="4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</sheetData>
  <mergeCells count="6">
    <mergeCell ref="A4:AK4"/>
    <mergeCell ref="A19:F19"/>
    <mergeCell ref="A11:AK11"/>
    <mergeCell ref="A1:AL1"/>
    <mergeCell ref="A14:AK14"/>
    <mergeCell ref="A8:AK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09"/>
  <sheetViews>
    <sheetView zoomScaleNormal="100" workbookViewId="0">
      <selection activeCell="A2" sqref="A2"/>
    </sheetView>
  </sheetViews>
  <sheetFormatPr defaultColWidth="8.6640625" defaultRowHeight="14.25" x14ac:dyDescent="0.45"/>
  <cols>
    <col min="1" max="1" width="28" customWidth="1"/>
    <col min="2" max="38" width="13" customWidth="1"/>
  </cols>
  <sheetData>
    <row r="1" spans="1:49" ht="24.75" customHeight="1" x14ac:dyDescent="0.45">
      <c r="A1" s="160" t="s">
        <v>114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9"/>
    </row>
    <row r="2" spans="1:49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1:49" ht="14.25" customHeight="1" x14ac:dyDescent="0.4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"/>
    </row>
    <row r="4" spans="1:49" ht="14.25" customHeight="1" x14ac:dyDescent="0.45">
      <c r="A4" s="157" t="s">
        <v>115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9"/>
      <c r="AL4" s="2"/>
    </row>
    <row r="5" spans="1:49" ht="14.25" customHeight="1" x14ac:dyDescent="0.45">
      <c r="A5" s="48" t="s">
        <v>116</v>
      </c>
      <c r="B5" s="24">
        <f>'Model Inputs'!B192</f>
        <v>0</v>
      </c>
      <c r="C5" s="24">
        <f>'Model Inputs'!C192</f>
        <v>0</v>
      </c>
      <c r="D5" s="24">
        <f>'Model Inputs'!D192</f>
        <v>0</v>
      </c>
      <c r="E5" s="24">
        <f>'Model Inputs'!E192</f>
        <v>8</v>
      </c>
      <c r="F5" s="24">
        <f>'Model Inputs'!F192</f>
        <v>6</v>
      </c>
      <c r="G5" s="24">
        <f>'Model Inputs'!G192</f>
        <v>7</v>
      </c>
      <c r="H5" s="24">
        <f>'Model Inputs'!H192</f>
        <v>9</v>
      </c>
      <c r="I5" s="24">
        <f>'Model Inputs'!I192</f>
        <v>9</v>
      </c>
      <c r="J5" s="24">
        <f>'Model Inputs'!J192</f>
        <v>9</v>
      </c>
      <c r="K5" s="24">
        <f>'Model Inputs'!K192</f>
        <v>9</v>
      </c>
      <c r="L5" s="24">
        <f>'Model Inputs'!L192</f>
        <v>9</v>
      </c>
      <c r="M5" s="24">
        <f>'Model Inputs'!M192</f>
        <v>9</v>
      </c>
      <c r="N5" s="24">
        <f>'Model Inputs'!N192</f>
        <v>7</v>
      </c>
      <c r="O5" s="24">
        <f>'Model Inputs'!O192</f>
        <v>7</v>
      </c>
      <c r="P5" s="24">
        <f>'Model Inputs'!P192</f>
        <v>7</v>
      </c>
      <c r="Q5" s="24">
        <f>'Model Inputs'!Q192</f>
        <v>8</v>
      </c>
      <c r="R5" s="24">
        <f>'Model Inputs'!R192</f>
        <v>9</v>
      </c>
      <c r="S5" s="24">
        <f>'Model Inputs'!S192</f>
        <v>11</v>
      </c>
      <c r="T5" s="24">
        <f>'Model Inputs'!T192</f>
        <v>12</v>
      </c>
      <c r="U5" s="24">
        <f>'Model Inputs'!U192</f>
        <v>12</v>
      </c>
      <c r="V5" s="24">
        <f>'Model Inputs'!V192</f>
        <v>12</v>
      </c>
      <c r="W5" s="24">
        <f>'Model Inputs'!W192</f>
        <v>13</v>
      </c>
      <c r="X5" s="24">
        <f>'Model Inputs'!X192</f>
        <v>14</v>
      </c>
      <c r="Y5" s="24">
        <f>'Model Inputs'!Y192</f>
        <v>15</v>
      </c>
      <c r="Z5" s="24">
        <f>'Model Inputs'!Z192</f>
        <v>12</v>
      </c>
      <c r="AA5" s="24">
        <f>'Model Inputs'!AA192</f>
        <v>12</v>
      </c>
      <c r="AB5" s="24">
        <f>'Model Inputs'!AB192</f>
        <v>12</v>
      </c>
      <c r="AC5" s="24">
        <f>'Model Inputs'!AC192</f>
        <v>12</v>
      </c>
      <c r="AD5" s="24">
        <f>'Model Inputs'!AD192</f>
        <v>12</v>
      </c>
      <c r="AE5" s="24">
        <f>'Model Inputs'!AE192</f>
        <v>12</v>
      </c>
      <c r="AF5" s="24">
        <f>'Model Inputs'!AF192</f>
        <v>12</v>
      </c>
      <c r="AG5" s="24">
        <f>'Model Inputs'!AG192</f>
        <v>12</v>
      </c>
      <c r="AH5" s="24">
        <f>'Model Inputs'!AH192</f>
        <v>12</v>
      </c>
      <c r="AI5" s="24">
        <f>'Model Inputs'!AI192</f>
        <v>12</v>
      </c>
      <c r="AJ5" s="24">
        <f>'Model Inputs'!AJ192</f>
        <v>12</v>
      </c>
      <c r="AK5" s="24">
        <f>'Model Inputs'!AK192</f>
        <v>12</v>
      </c>
      <c r="AL5" s="3"/>
    </row>
    <row r="6" spans="1:49" ht="14.25" customHeight="1" x14ac:dyDescent="0.45">
      <c r="A6" s="49" t="s">
        <v>117</v>
      </c>
      <c r="B6" s="26">
        <f>B5*'Model Inputs'!$B$116</f>
        <v>0</v>
      </c>
      <c r="C6" s="26">
        <f>C5*'Model Inputs'!$B$116</f>
        <v>0</v>
      </c>
      <c r="D6" s="26">
        <f>D5*'Model Inputs'!$B$116</f>
        <v>0</v>
      </c>
      <c r="E6" s="26">
        <f>E5*'Model Inputs'!$B$116</f>
        <v>176</v>
      </c>
      <c r="F6" s="26">
        <f>F5*'Model Inputs'!$B$116</f>
        <v>132</v>
      </c>
      <c r="G6" s="26">
        <f>G5*'Model Inputs'!$B$116</f>
        <v>154</v>
      </c>
      <c r="H6" s="26">
        <f>H5*'Model Inputs'!$B$116</f>
        <v>198</v>
      </c>
      <c r="I6" s="26">
        <f>I5*'Model Inputs'!$B$116</f>
        <v>198</v>
      </c>
      <c r="J6" s="26">
        <f>J5*'Model Inputs'!$B$116</f>
        <v>198</v>
      </c>
      <c r="K6" s="26">
        <f>K5*'Model Inputs'!$B$116</f>
        <v>198</v>
      </c>
      <c r="L6" s="26">
        <f>L5*'Model Inputs'!$B$116</f>
        <v>198</v>
      </c>
      <c r="M6" s="26">
        <f>M5*'Model Inputs'!$B$116</f>
        <v>198</v>
      </c>
      <c r="N6" s="26">
        <f>N5*'Model Inputs'!$C$116</f>
        <v>175</v>
      </c>
      <c r="O6" s="26">
        <f>O5*'Model Inputs'!$C$116</f>
        <v>175</v>
      </c>
      <c r="P6" s="26">
        <f>P5*'Model Inputs'!$C$116</f>
        <v>175</v>
      </c>
      <c r="Q6" s="26">
        <f>Q5*'Model Inputs'!$C$116</f>
        <v>200</v>
      </c>
      <c r="R6" s="26">
        <f>R5*'Model Inputs'!$C$116</f>
        <v>225</v>
      </c>
      <c r="S6" s="26">
        <f>S5*'Model Inputs'!$C$116</f>
        <v>275</v>
      </c>
      <c r="T6" s="26">
        <f>T5*'Model Inputs'!$C$116</f>
        <v>300</v>
      </c>
      <c r="U6" s="26">
        <f>U5*'Model Inputs'!$C$116</f>
        <v>300</v>
      </c>
      <c r="V6" s="26">
        <f>V5*'Model Inputs'!$C$116</f>
        <v>300</v>
      </c>
      <c r="W6" s="26">
        <f>W5*'Model Inputs'!$C$116</f>
        <v>325</v>
      </c>
      <c r="X6" s="26">
        <f>X5*'Model Inputs'!$C$116</f>
        <v>350</v>
      </c>
      <c r="Y6" s="26">
        <f>Y5*'Model Inputs'!$C$116</f>
        <v>375</v>
      </c>
      <c r="Z6" s="26">
        <f>Z5*'Model Inputs'!$D$116</f>
        <v>336</v>
      </c>
      <c r="AA6" s="26">
        <f>AA5*'Model Inputs'!$D$116</f>
        <v>336</v>
      </c>
      <c r="AB6" s="26">
        <f>AB5*'Model Inputs'!$D$116</f>
        <v>336</v>
      </c>
      <c r="AC6" s="26">
        <f>AC5*'Model Inputs'!$D$116</f>
        <v>336</v>
      </c>
      <c r="AD6" s="26">
        <f>AD5*'Model Inputs'!$D$116</f>
        <v>336</v>
      </c>
      <c r="AE6" s="26">
        <f>AE5*'Model Inputs'!$D$116</f>
        <v>336</v>
      </c>
      <c r="AF6" s="26">
        <f>AF5*'Model Inputs'!$D$116</f>
        <v>336</v>
      </c>
      <c r="AG6" s="26">
        <f>AG5*'Model Inputs'!$D$116</f>
        <v>336</v>
      </c>
      <c r="AH6" s="26">
        <f>AH5*'Model Inputs'!$D$116</f>
        <v>336</v>
      </c>
      <c r="AI6" s="26">
        <f>AI5*'Model Inputs'!$D$116</f>
        <v>336</v>
      </c>
      <c r="AJ6" s="26">
        <f>AJ5*'Model Inputs'!$D$116</f>
        <v>336</v>
      </c>
      <c r="AK6" s="26">
        <f>AK5*'Model Inputs'!$D$116</f>
        <v>336</v>
      </c>
      <c r="AL6" s="3">
        <f>AL5*'Model Inputs'!$D$116</f>
        <v>0</v>
      </c>
    </row>
    <row r="7" spans="1:49" ht="14.25" customHeight="1" x14ac:dyDescent="0.45">
      <c r="A7" s="48" t="s">
        <v>118</v>
      </c>
      <c r="B7" s="24">
        <f>'Model Inputs'!B193</f>
        <v>0</v>
      </c>
      <c r="C7" s="24">
        <f>'Model Inputs'!C193</f>
        <v>0</v>
      </c>
      <c r="D7" s="24">
        <f>'Model Inputs'!D193</f>
        <v>0</v>
      </c>
      <c r="E7" s="24">
        <f>'Model Inputs'!E193</f>
        <v>1</v>
      </c>
      <c r="F7" s="24">
        <f>'Model Inputs'!F193</f>
        <v>0</v>
      </c>
      <c r="G7" s="24">
        <f>'Model Inputs'!G193</f>
        <v>1</v>
      </c>
      <c r="H7" s="24">
        <f>'Model Inputs'!H193</f>
        <v>1</v>
      </c>
      <c r="I7" s="24">
        <f>'Model Inputs'!I193</f>
        <v>1</v>
      </c>
      <c r="J7" s="24">
        <f>'Model Inputs'!J193</f>
        <v>1</v>
      </c>
      <c r="K7" s="24">
        <f>'Model Inputs'!K193</f>
        <v>1</v>
      </c>
      <c r="L7" s="24">
        <f>'Model Inputs'!L193</f>
        <v>1</v>
      </c>
      <c r="M7" s="24">
        <f>'Model Inputs'!M193</f>
        <v>1</v>
      </c>
      <c r="N7" s="24">
        <f>'Model Inputs'!N193</f>
        <v>1</v>
      </c>
      <c r="O7" s="24">
        <f>'Model Inputs'!O193</f>
        <v>1</v>
      </c>
      <c r="P7" s="24">
        <f>'Model Inputs'!P193</f>
        <v>1</v>
      </c>
      <c r="Q7" s="24">
        <f>'Model Inputs'!Q193</f>
        <v>1</v>
      </c>
      <c r="R7" s="24">
        <f>'Model Inputs'!R193</f>
        <v>1</v>
      </c>
      <c r="S7" s="24">
        <f>'Model Inputs'!S193</f>
        <v>1</v>
      </c>
      <c r="T7" s="24">
        <f>'Model Inputs'!T193</f>
        <v>1</v>
      </c>
      <c r="U7" s="24">
        <f>'Model Inputs'!U193</f>
        <v>1</v>
      </c>
      <c r="V7" s="24">
        <f>'Model Inputs'!V193</f>
        <v>1</v>
      </c>
      <c r="W7" s="24">
        <f>'Model Inputs'!W193</f>
        <v>1</v>
      </c>
      <c r="X7" s="24">
        <f>'Model Inputs'!X193</f>
        <v>2</v>
      </c>
      <c r="Y7" s="24">
        <f>'Model Inputs'!Y193</f>
        <v>2</v>
      </c>
      <c r="Z7" s="24">
        <f>'Model Inputs'!Z193</f>
        <v>2</v>
      </c>
      <c r="AA7" s="24">
        <f>'Model Inputs'!AA193</f>
        <v>2</v>
      </c>
      <c r="AB7" s="24">
        <f>'Model Inputs'!AB193</f>
        <v>2</v>
      </c>
      <c r="AC7" s="24">
        <f>'Model Inputs'!AC193</f>
        <v>2</v>
      </c>
      <c r="AD7" s="24">
        <f>'Model Inputs'!AD193</f>
        <v>2</v>
      </c>
      <c r="AE7" s="24">
        <f>'Model Inputs'!AE193</f>
        <v>2</v>
      </c>
      <c r="AF7" s="24">
        <f>'Model Inputs'!AF193</f>
        <v>2</v>
      </c>
      <c r="AG7" s="24">
        <f>'Model Inputs'!AG193</f>
        <v>2</v>
      </c>
      <c r="AH7" s="24">
        <f>'Model Inputs'!AH193</f>
        <v>2</v>
      </c>
      <c r="AI7" s="24">
        <f>'Model Inputs'!AI193</f>
        <v>2</v>
      </c>
      <c r="AJ7" s="24">
        <f>'Model Inputs'!AJ193</f>
        <v>2</v>
      </c>
      <c r="AK7" s="24">
        <f>'Model Inputs'!AK193</f>
        <v>2</v>
      </c>
      <c r="AL7" s="3"/>
    </row>
    <row r="8" spans="1:49" ht="14.25" customHeight="1" x14ac:dyDescent="0.45">
      <c r="A8" s="49" t="s">
        <v>119</v>
      </c>
      <c r="B8" s="26">
        <f>B7*'Model Inputs'!$B$117</f>
        <v>0</v>
      </c>
      <c r="C8" s="26">
        <f>C7*'Model Inputs'!$B$117</f>
        <v>0</v>
      </c>
      <c r="D8" s="26">
        <f>D7*'Model Inputs'!$B$117</f>
        <v>0</v>
      </c>
      <c r="E8" s="26">
        <f>E7*'Model Inputs'!$B$117</f>
        <v>44</v>
      </c>
      <c r="F8" s="26">
        <f>F7*'Model Inputs'!$B$117</f>
        <v>0</v>
      </c>
      <c r="G8" s="26">
        <f>G7*'Model Inputs'!$B$117</f>
        <v>44</v>
      </c>
      <c r="H8" s="26">
        <f>H7*'Model Inputs'!$B$117</f>
        <v>44</v>
      </c>
      <c r="I8" s="26">
        <f>I7*'Model Inputs'!$B$117</f>
        <v>44</v>
      </c>
      <c r="J8" s="26">
        <f>J7*'Model Inputs'!$B$117</f>
        <v>44</v>
      </c>
      <c r="K8" s="26">
        <f>K7*'Model Inputs'!$B$117</f>
        <v>44</v>
      </c>
      <c r="L8" s="26">
        <f>L7*'Model Inputs'!$B$117</f>
        <v>44</v>
      </c>
      <c r="M8" s="26">
        <f>M7*'Model Inputs'!$B$117</f>
        <v>44</v>
      </c>
      <c r="N8" s="26">
        <f>N7*'Model Inputs'!$C$117</f>
        <v>50</v>
      </c>
      <c r="O8" s="26">
        <f>O7*'Model Inputs'!$C$117</f>
        <v>50</v>
      </c>
      <c r="P8" s="26">
        <f>P7*'Model Inputs'!$C$117</f>
        <v>50</v>
      </c>
      <c r="Q8" s="26">
        <f>Q7*'Model Inputs'!$C$117</f>
        <v>50</v>
      </c>
      <c r="R8" s="26">
        <f>R7*'Model Inputs'!$C$117</f>
        <v>50</v>
      </c>
      <c r="S8" s="26">
        <f>S7*'Model Inputs'!$C$117</f>
        <v>50</v>
      </c>
      <c r="T8" s="26">
        <f>T7*'Model Inputs'!$C$117</f>
        <v>50</v>
      </c>
      <c r="U8" s="26">
        <f>U7*'Model Inputs'!$C$117</f>
        <v>50</v>
      </c>
      <c r="V8" s="26">
        <f>V7*'Model Inputs'!$C$117</f>
        <v>50</v>
      </c>
      <c r="W8" s="26">
        <f>W7*'Model Inputs'!$C$117</f>
        <v>50</v>
      </c>
      <c r="X8" s="26">
        <f>X7*'Model Inputs'!$C$117</f>
        <v>100</v>
      </c>
      <c r="Y8" s="26">
        <f>Y7*'Model Inputs'!$C$117</f>
        <v>100</v>
      </c>
      <c r="Z8" s="26">
        <f>Z7*'Model Inputs'!$D$117</f>
        <v>120</v>
      </c>
      <c r="AA8" s="26">
        <f>AA7*'Model Inputs'!$D$117</f>
        <v>120</v>
      </c>
      <c r="AB8" s="26">
        <f>AB7*'Model Inputs'!$D$117</f>
        <v>120</v>
      </c>
      <c r="AC8" s="26">
        <f>AC7*'Model Inputs'!$D$117</f>
        <v>120</v>
      </c>
      <c r="AD8" s="26">
        <f>AD7*'Model Inputs'!$D$117</f>
        <v>120</v>
      </c>
      <c r="AE8" s="26">
        <f>AE7*'Model Inputs'!$D$117</f>
        <v>120</v>
      </c>
      <c r="AF8" s="26">
        <f>AF7*'Model Inputs'!$D$117</f>
        <v>120</v>
      </c>
      <c r="AG8" s="26">
        <f>AG7*'Model Inputs'!$D$117</f>
        <v>120</v>
      </c>
      <c r="AH8" s="26">
        <f>AH7*'Model Inputs'!$D$117</f>
        <v>120</v>
      </c>
      <c r="AI8" s="26">
        <f>AI7*'Model Inputs'!$D$117</f>
        <v>120</v>
      </c>
      <c r="AJ8" s="26">
        <f>AJ7*'Model Inputs'!$D$117</f>
        <v>120</v>
      </c>
      <c r="AK8" s="26">
        <f>AK7*'Model Inputs'!$D$117</f>
        <v>120</v>
      </c>
      <c r="AL8" s="3">
        <f>AL7*'Model Inputs'!$D$117</f>
        <v>0</v>
      </c>
    </row>
    <row r="9" spans="1:49" ht="14.25" customHeight="1" x14ac:dyDescent="0.45">
      <c r="A9" s="148" t="s">
        <v>120</v>
      </c>
      <c r="B9" s="149">
        <f>'Model Inputs'!B194</f>
        <v>0</v>
      </c>
      <c r="C9" s="149">
        <f>'Model Inputs'!C194</f>
        <v>0</v>
      </c>
      <c r="D9" s="149">
        <f>'Model Inputs'!D194</f>
        <v>0</v>
      </c>
      <c r="E9" s="149">
        <f>'Model Inputs'!E194</f>
        <v>0</v>
      </c>
      <c r="F9" s="149">
        <f>'Model Inputs'!F194</f>
        <v>0</v>
      </c>
      <c r="G9" s="149">
        <f>'Model Inputs'!G194</f>
        <v>0</v>
      </c>
      <c r="H9" s="149">
        <f>'Model Inputs'!H194</f>
        <v>0</v>
      </c>
      <c r="I9" s="149">
        <f>'Model Inputs'!I194</f>
        <v>0</v>
      </c>
      <c r="J9" s="149">
        <f>'Model Inputs'!J194</f>
        <v>0</v>
      </c>
      <c r="K9" s="149">
        <f>'Model Inputs'!K194</f>
        <v>0</v>
      </c>
      <c r="L9" s="149">
        <f>'Model Inputs'!L194</f>
        <v>0</v>
      </c>
      <c r="M9" s="149">
        <f>'Model Inputs'!M194</f>
        <v>0</v>
      </c>
      <c r="N9" s="149">
        <f>'Model Inputs'!N194</f>
        <v>1</v>
      </c>
      <c r="O9" s="149">
        <f>'Model Inputs'!O194</f>
        <v>1</v>
      </c>
      <c r="P9" s="149">
        <f>'Model Inputs'!P194</f>
        <v>1</v>
      </c>
      <c r="Q9" s="149">
        <f>'Model Inputs'!Q194</f>
        <v>1</v>
      </c>
      <c r="R9" s="149">
        <f>'Model Inputs'!R194</f>
        <v>1</v>
      </c>
      <c r="S9" s="149">
        <f>'Model Inputs'!S194</f>
        <v>2</v>
      </c>
      <c r="T9" s="149">
        <f>'Model Inputs'!T194</f>
        <v>2</v>
      </c>
      <c r="U9" s="149">
        <f>'Model Inputs'!U194</f>
        <v>2</v>
      </c>
      <c r="V9" s="149">
        <f>'Model Inputs'!V194</f>
        <v>2</v>
      </c>
      <c r="W9" s="149">
        <f>'Model Inputs'!W194</f>
        <v>2</v>
      </c>
      <c r="X9" s="149">
        <f>'Model Inputs'!X194</f>
        <v>2</v>
      </c>
      <c r="Y9" s="149">
        <f>'Model Inputs'!Y194</f>
        <v>2</v>
      </c>
      <c r="Z9" s="149">
        <f>'Model Inputs'!Z194</f>
        <v>2</v>
      </c>
      <c r="AA9" s="149">
        <f>'Model Inputs'!AA194</f>
        <v>2</v>
      </c>
      <c r="AB9" s="149">
        <f>'Model Inputs'!AB194</f>
        <v>2</v>
      </c>
      <c r="AC9" s="149">
        <f>'Model Inputs'!AC194</f>
        <v>2</v>
      </c>
      <c r="AD9" s="149">
        <f>'Model Inputs'!AD194</f>
        <v>2</v>
      </c>
      <c r="AE9" s="149">
        <f>'Model Inputs'!AE194</f>
        <v>2</v>
      </c>
      <c r="AF9" s="149">
        <f>'Model Inputs'!AF194</f>
        <v>2</v>
      </c>
      <c r="AG9" s="149">
        <f>'Model Inputs'!AG194</f>
        <v>2</v>
      </c>
      <c r="AH9" s="149">
        <f>'Model Inputs'!AH194</f>
        <v>2</v>
      </c>
      <c r="AI9" s="149">
        <f>'Model Inputs'!AI194</f>
        <v>2</v>
      </c>
      <c r="AJ9" s="149">
        <f>'Model Inputs'!AJ194</f>
        <v>2</v>
      </c>
      <c r="AK9" s="149">
        <f>'Model Inputs'!AK194</f>
        <v>2</v>
      </c>
      <c r="AL9" s="150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</row>
    <row r="10" spans="1:49" ht="14.25" customHeight="1" x14ac:dyDescent="0.45">
      <c r="A10" s="49" t="s">
        <v>121</v>
      </c>
      <c r="B10" s="26">
        <f>B9*'Model Inputs'!$B$118</f>
        <v>0</v>
      </c>
      <c r="C10" s="26">
        <f>C9*'Model Inputs'!$B$118</f>
        <v>0</v>
      </c>
      <c r="D10" s="26">
        <f>D9*'Model Inputs'!$B$118</f>
        <v>0</v>
      </c>
      <c r="E10" s="26">
        <f>E9*'Model Inputs'!$B$118</f>
        <v>0</v>
      </c>
      <c r="F10" s="26">
        <f>F9*'Model Inputs'!$B$118</f>
        <v>0</v>
      </c>
      <c r="G10" s="26">
        <f>G9*'Model Inputs'!$B$118</f>
        <v>0</v>
      </c>
      <c r="H10" s="26">
        <f>H9*'Model Inputs'!$B$118</f>
        <v>0</v>
      </c>
      <c r="I10" s="26">
        <f>I9*'Model Inputs'!$B$118</f>
        <v>0</v>
      </c>
      <c r="J10" s="26">
        <f>J9*'Model Inputs'!$B$118</f>
        <v>0</v>
      </c>
      <c r="K10" s="26">
        <f>K9*'Model Inputs'!$B$118</f>
        <v>0</v>
      </c>
      <c r="L10" s="26">
        <f>L9*'Model Inputs'!$B$118</f>
        <v>0</v>
      </c>
      <c r="M10" s="26">
        <f>M9*'Model Inputs'!$B$118</f>
        <v>0</v>
      </c>
      <c r="N10" s="26">
        <f>N9*'Model Inputs'!$C$118</f>
        <v>15</v>
      </c>
      <c r="O10" s="26">
        <f>O9*'Model Inputs'!$C$118</f>
        <v>15</v>
      </c>
      <c r="P10" s="26">
        <f>P9*'Model Inputs'!$C$118</f>
        <v>15</v>
      </c>
      <c r="Q10" s="26">
        <f>Q9*'Model Inputs'!$C$118</f>
        <v>15</v>
      </c>
      <c r="R10" s="26">
        <f>R9*'Model Inputs'!$C$118</f>
        <v>15</v>
      </c>
      <c r="S10" s="26">
        <f>S9*'Model Inputs'!$C$118</f>
        <v>30</v>
      </c>
      <c r="T10" s="26">
        <f>T9*'Model Inputs'!$C$118</f>
        <v>30</v>
      </c>
      <c r="U10" s="26">
        <f>U9*'Model Inputs'!$C$118</f>
        <v>30</v>
      </c>
      <c r="V10" s="26">
        <f>V9*'Model Inputs'!$C$118</f>
        <v>30</v>
      </c>
      <c r="W10" s="26">
        <f>W9*'Model Inputs'!$C$118</f>
        <v>30</v>
      </c>
      <c r="X10" s="26">
        <f>X9*'Model Inputs'!$C$118</f>
        <v>30</v>
      </c>
      <c r="Y10" s="26">
        <f>Y9*'Model Inputs'!$C$118</f>
        <v>30</v>
      </c>
      <c r="Z10" s="26">
        <f>Z9*'Model Inputs'!$D$118</f>
        <v>40</v>
      </c>
      <c r="AA10" s="26">
        <f>AA9*'Model Inputs'!$D$118</f>
        <v>40</v>
      </c>
      <c r="AB10" s="26">
        <f>AB9*'Model Inputs'!$D$118</f>
        <v>40</v>
      </c>
      <c r="AC10" s="26">
        <f>AC9*'Model Inputs'!$D$118</f>
        <v>40</v>
      </c>
      <c r="AD10" s="26">
        <f>AD9*'Model Inputs'!$D$118</f>
        <v>40</v>
      </c>
      <c r="AE10" s="26">
        <f>AE9*'Model Inputs'!$D$118</f>
        <v>40</v>
      </c>
      <c r="AF10" s="26">
        <f>AF9*'Model Inputs'!$D$118</f>
        <v>40</v>
      </c>
      <c r="AG10" s="26">
        <f>AG9*'Model Inputs'!$D$118</f>
        <v>40</v>
      </c>
      <c r="AH10" s="26">
        <f>AH9*'Model Inputs'!$D$118</f>
        <v>40</v>
      </c>
      <c r="AI10" s="26">
        <f>AI9*'Model Inputs'!$D$118</f>
        <v>40</v>
      </c>
      <c r="AJ10" s="26">
        <f>AJ9*'Model Inputs'!$D$118</f>
        <v>40</v>
      </c>
      <c r="AK10" s="26">
        <f>AK9*'Model Inputs'!$D$118</f>
        <v>40</v>
      </c>
      <c r="AL10" s="3">
        <f>AL9*'Model Inputs'!$D$118</f>
        <v>0</v>
      </c>
    </row>
    <row r="11" spans="1:49" ht="14.25" customHeight="1" x14ac:dyDescent="0.45">
      <c r="A11" s="48" t="s">
        <v>122</v>
      </c>
      <c r="B11" s="50">
        <f>'Model Inputs'!B195</f>
        <v>0</v>
      </c>
      <c r="C11" s="50">
        <f>'Model Inputs'!C195</f>
        <v>0</v>
      </c>
      <c r="D11" s="50">
        <f>'Model Inputs'!D195</f>
        <v>0</v>
      </c>
      <c r="E11" s="50">
        <f>'Model Inputs'!E195</f>
        <v>0</v>
      </c>
      <c r="F11" s="50">
        <f>'Model Inputs'!F195</f>
        <v>0</v>
      </c>
      <c r="G11" s="50">
        <f>'Model Inputs'!G195</f>
        <v>0</v>
      </c>
      <c r="H11" s="50">
        <f>'Model Inputs'!H195</f>
        <v>0</v>
      </c>
      <c r="I11" s="50">
        <f>'Model Inputs'!I195</f>
        <v>0</v>
      </c>
      <c r="J11" s="50">
        <f>'Model Inputs'!J195</f>
        <v>0</v>
      </c>
      <c r="K11" s="50">
        <f>'Model Inputs'!K195</f>
        <v>0</v>
      </c>
      <c r="L11" s="50">
        <f>'Model Inputs'!L195</f>
        <v>0</v>
      </c>
      <c r="M11" s="50">
        <f>'Model Inputs'!M195</f>
        <v>0</v>
      </c>
      <c r="N11" s="50">
        <f>'Model Inputs'!N195</f>
        <v>0</v>
      </c>
      <c r="O11" s="50">
        <f>'Model Inputs'!O195</f>
        <v>0</v>
      </c>
      <c r="P11" s="50">
        <f>'Model Inputs'!P195</f>
        <v>0</v>
      </c>
      <c r="Q11" s="50">
        <f>'Model Inputs'!Q195</f>
        <v>1</v>
      </c>
      <c r="R11" s="50">
        <f>'Model Inputs'!R195</f>
        <v>1</v>
      </c>
      <c r="S11" s="50">
        <f>'Model Inputs'!S195</f>
        <v>1</v>
      </c>
      <c r="T11" s="50">
        <f>'Model Inputs'!T195</f>
        <v>1</v>
      </c>
      <c r="U11" s="50">
        <f>'Model Inputs'!U195</f>
        <v>1</v>
      </c>
      <c r="V11" s="50">
        <f>'Model Inputs'!V195</f>
        <v>1</v>
      </c>
      <c r="W11" s="50">
        <f>'Model Inputs'!W195</f>
        <v>1</v>
      </c>
      <c r="X11" s="50">
        <f>'Model Inputs'!X195</f>
        <v>1</v>
      </c>
      <c r="Y11" s="50">
        <f>'Model Inputs'!Y195</f>
        <v>1</v>
      </c>
      <c r="Z11" s="50">
        <f>'Model Inputs'!Z195</f>
        <v>2</v>
      </c>
      <c r="AA11" s="50">
        <f>'Model Inputs'!AA195</f>
        <v>2</v>
      </c>
      <c r="AB11" s="50">
        <f>'Model Inputs'!AB195</f>
        <v>2</v>
      </c>
      <c r="AC11" s="50">
        <f>'Model Inputs'!AC195</f>
        <v>2</v>
      </c>
      <c r="AD11" s="50">
        <f>'Model Inputs'!AD195</f>
        <v>2</v>
      </c>
      <c r="AE11" s="50">
        <f>'Model Inputs'!AE195</f>
        <v>2</v>
      </c>
      <c r="AF11" s="50">
        <f>'Model Inputs'!AF195</f>
        <v>2</v>
      </c>
      <c r="AG11" s="50">
        <f>'Model Inputs'!AG195</f>
        <v>2</v>
      </c>
      <c r="AH11" s="50">
        <f>'Model Inputs'!AH195</f>
        <v>2</v>
      </c>
      <c r="AI11" s="50">
        <f>'Model Inputs'!AI195</f>
        <v>2</v>
      </c>
      <c r="AJ11" s="50">
        <f>'Model Inputs'!AJ195</f>
        <v>2</v>
      </c>
      <c r="AK11" s="50">
        <f>'Model Inputs'!AK195</f>
        <v>2</v>
      </c>
      <c r="AL11" s="12"/>
    </row>
    <row r="12" spans="1:49" ht="14.25" customHeight="1" x14ac:dyDescent="0.45">
      <c r="A12" s="151" t="s">
        <v>123</v>
      </c>
      <c r="B12" s="152">
        <f>B11*'Model Inputs'!$B$119</f>
        <v>0</v>
      </c>
      <c r="C12" s="152">
        <f>C11*'Model Inputs'!$B$119</f>
        <v>0</v>
      </c>
      <c r="D12" s="152">
        <f>D11*'Model Inputs'!$B$119</f>
        <v>0</v>
      </c>
      <c r="E12" s="152">
        <f>E11*'Model Inputs'!$B$119</f>
        <v>0</v>
      </c>
      <c r="F12" s="152">
        <f>F11*'Model Inputs'!$B$119</f>
        <v>0</v>
      </c>
      <c r="G12" s="152">
        <f>G11*'Model Inputs'!$B$119</f>
        <v>0</v>
      </c>
      <c r="H12" s="152">
        <f>H11*'Model Inputs'!$B$119</f>
        <v>0</v>
      </c>
      <c r="I12" s="152">
        <f>I11*'Model Inputs'!$B$119</f>
        <v>0</v>
      </c>
      <c r="J12" s="152">
        <f>J11*'Model Inputs'!$B$119</f>
        <v>0</v>
      </c>
      <c r="K12" s="152">
        <f>K11*'Model Inputs'!$B$119</f>
        <v>0</v>
      </c>
      <c r="L12" s="152">
        <f>L11*'Model Inputs'!$B$119</f>
        <v>0</v>
      </c>
      <c r="M12" s="152">
        <f>M11*'Model Inputs'!$B$119</f>
        <v>0</v>
      </c>
      <c r="N12" s="152">
        <f>N11*'Model Inputs'!$C$119</f>
        <v>0</v>
      </c>
      <c r="O12" s="152">
        <f>O11*'Model Inputs'!$C$119</f>
        <v>0</v>
      </c>
      <c r="P12" s="152">
        <f>P11*'Model Inputs'!$C$119</f>
        <v>0</v>
      </c>
      <c r="Q12" s="152">
        <f>Q11*'Model Inputs'!$C$119</f>
        <v>10</v>
      </c>
      <c r="R12" s="152">
        <f>R11*'Model Inputs'!$C$119</f>
        <v>10</v>
      </c>
      <c r="S12" s="152">
        <f>S11*'Model Inputs'!$C$119</f>
        <v>10</v>
      </c>
      <c r="T12" s="152">
        <f>T11*'Model Inputs'!$C$119</f>
        <v>10</v>
      </c>
      <c r="U12" s="152">
        <f>U11*'Model Inputs'!$C$119</f>
        <v>10</v>
      </c>
      <c r="V12" s="152">
        <f>V11*'Model Inputs'!$C$119</f>
        <v>10</v>
      </c>
      <c r="W12" s="152">
        <f>W11*'Model Inputs'!$C$119</f>
        <v>10</v>
      </c>
      <c r="X12" s="152">
        <f>X11*'Model Inputs'!$C$119</f>
        <v>10</v>
      </c>
      <c r="Y12" s="152">
        <f>Y11*'Model Inputs'!$C$119</f>
        <v>10</v>
      </c>
      <c r="Z12" s="152">
        <f>Z11*'Model Inputs'!$D$119</f>
        <v>28</v>
      </c>
      <c r="AA12" s="152">
        <f>AA11*'Model Inputs'!$D$119</f>
        <v>28</v>
      </c>
      <c r="AB12" s="152">
        <f>AB11*'Model Inputs'!$D$119</f>
        <v>28</v>
      </c>
      <c r="AC12" s="152">
        <f>AC11*'Model Inputs'!$D$119</f>
        <v>28</v>
      </c>
      <c r="AD12" s="152">
        <f>AD11*'Model Inputs'!$D$119</f>
        <v>28</v>
      </c>
      <c r="AE12" s="152">
        <f>AE11*'Model Inputs'!$D$119</f>
        <v>28</v>
      </c>
      <c r="AF12" s="152">
        <f>AF11*'Model Inputs'!$D$119</f>
        <v>28</v>
      </c>
      <c r="AG12" s="152">
        <f>AG11*'Model Inputs'!$D$119</f>
        <v>28</v>
      </c>
      <c r="AH12" s="152">
        <f>AH11*'Model Inputs'!$D$119</f>
        <v>28</v>
      </c>
      <c r="AI12" s="152">
        <f>AI11*'Model Inputs'!$D$119</f>
        <v>28</v>
      </c>
      <c r="AJ12" s="152">
        <f>AJ11*'Model Inputs'!$D$119</f>
        <v>28</v>
      </c>
      <c r="AK12" s="152">
        <f>AK11*'Model Inputs'!$D$119</f>
        <v>28</v>
      </c>
      <c r="AL12" s="150">
        <f>AL11*'Model Inputs'!$D$119</f>
        <v>0</v>
      </c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</row>
    <row r="13" spans="1:49" ht="14.25" customHeight="1" x14ac:dyDescent="0.45">
      <c r="A13" s="48" t="s">
        <v>124</v>
      </c>
      <c r="B13" s="24">
        <f>'Model Inputs'!B196</f>
        <v>0</v>
      </c>
      <c r="C13" s="24">
        <f>'Model Inputs'!C196</f>
        <v>0</v>
      </c>
      <c r="D13" s="24">
        <f>'Model Inputs'!D196</f>
        <v>0</v>
      </c>
      <c r="E13" s="24">
        <f>'Model Inputs'!E196</f>
        <v>0</v>
      </c>
      <c r="F13" s="24">
        <f>'Model Inputs'!F196</f>
        <v>0</v>
      </c>
      <c r="G13" s="24">
        <f>'Model Inputs'!G196</f>
        <v>0</v>
      </c>
      <c r="H13" s="24">
        <f>'Model Inputs'!H196</f>
        <v>0</v>
      </c>
      <c r="I13" s="24">
        <f>'Model Inputs'!I196</f>
        <v>0</v>
      </c>
      <c r="J13" s="24">
        <f>'Model Inputs'!J196</f>
        <v>0</v>
      </c>
      <c r="K13" s="24">
        <f>'Model Inputs'!K196</f>
        <v>0</v>
      </c>
      <c r="L13" s="24">
        <f>'Model Inputs'!L196</f>
        <v>0</v>
      </c>
      <c r="M13" s="24">
        <f>'Model Inputs'!M196</f>
        <v>0</v>
      </c>
      <c r="N13" s="24">
        <f>'Model Inputs'!N196</f>
        <v>1</v>
      </c>
      <c r="O13" s="24">
        <f>'Model Inputs'!O196</f>
        <v>1</v>
      </c>
      <c r="P13" s="24">
        <f>'Model Inputs'!P196</f>
        <v>1</v>
      </c>
      <c r="Q13" s="24">
        <f>'Model Inputs'!Q196</f>
        <v>1</v>
      </c>
      <c r="R13" s="24">
        <f>'Model Inputs'!R196</f>
        <v>1</v>
      </c>
      <c r="S13" s="24">
        <f>'Model Inputs'!S196</f>
        <v>1</v>
      </c>
      <c r="T13" s="24">
        <f>'Model Inputs'!T196</f>
        <v>1</v>
      </c>
      <c r="U13" s="24">
        <f>'Model Inputs'!U196</f>
        <v>1</v>
      </c>
      <c r="V13" s="24">
        <f>'Model Inputs'!V196</f>
        <v>1</v>
      </c>
      <c r="W13" s="24">
        <f>'Model Inputs'!W196</f>
        <v>1</v>
      </c>
      <c r="X13" s="24">
        <f>'Model Inputs'!X196</f>
        <v>1</v>
      </c>
      <c r="Y13" s="24">
        <f>'Model Inputs'!Y196</f>
        <v>2</v>
      </c>
      <c r="Z13" s="24">
        <f>'Model Inputs'!Z196</f>
        <v>2</v>
      </c>
      <c r="AA13" s="24">
        <f>'Model Inputs'!AA196</f>
        <v>2</v>
      </c>
      <c r="AB13" s="24">
        <f>'Model Inputs'!AB196</f>
        <v>2</v>
      </c>
      <c r="AC13" s="24">
        <f>'Model Inputs'!AC196</f>
        <v>2</v>
      </c>
      <c r="AD13" s="24">
        <f>'Model Inputs'!AD196</f>
        <v>2</v>
      </c>
      <c r="AE13" s="24">
        <f>'Model Inputs'!AE196</f>
        <v>2</v>
      </c>
      <c r="AF13" s="24">
        <f>'Model Inputs'!AF196</f>
        <v>2</v>
      </c>
      <c r="AG13" s="24">
        <f>'Model Inputs'!AG196</f>
        <v>2</v>
      </c>
      <c r="AH13" s="24">
        <f>'Model Inputs'!AH196</f>
        <v>2</v>
      </c>
      <c r="AI13" s="24">
        <f>'Model Inputs'!AI196</f>
        <v>2</v>
      </c>
      <c r="AJ13" s="24">
        <f>'Model Inputs'!AJ196</f>
        <v>2</v>
      </c>
      <c r="AK13" s="24">
        <f>'Model Inputs'!AK196</f>
        <v>2</v>
      </c>
      <c r="AL13" s="3"/>
    </row>
    <row r="14" spans="1:49" ht="14.25" customHeight="1" x14ac:dyDescent="0.45">
      <c r="A14" s="49" t="s">
        <v>125</v>
      </c>
      <c r="B14" s="26">
        <f>B13*'Model Inputs'!$B$120</f>
        <v>0</v>
      </c>
      <c r="C14" s="26">
        <f>C13*'Model Inputs'!$B$120</f>
        <v>0</v>
      </c>
      <c r="D14" s="26">
        <f>D13*'Model Inputs'!$B$120</f>
        <v>0</v>
      </c>
      <c r="E14" s="26">
        <f>E13*'Model Inputs'!$B$120</f>
        <v>0</v>
      </c>
      <c r="F14" s="26">
        <f>F13*'Model Inputs'!$B$120</f>
        <v>0</v>
      </c>
      <c r="G14" s="26">
        <f>G13*'Model Inputs'!$B$120</f>
        <v>0</v>
      </c>
      <c r="H14" s="26">
        <f>H13*'Model Inputs'!$B$120</f>
        <v>0</v>
      </c>
      <c r="I14" s="26">
        <f>I13*'Model Inputs'!$B$120</f>
        <v>0</v>
      </c>
      <c r="J14" s="26">
        <f>J13*'Model Inputs'!$B$120</f>
        <v>0</v>
      </c>
      <c r="K14" s="26">
        <f>K13*'Model Inputs'!$B$120</f>
        <v>0</v>
      </c>
      <c r="L14" s="26">
        <f>L13*'Model Inputs'!$B$120</f>
        <v>0</v>
      </c>
      <c r="M14" s="26">
        <f>M13*'Model Inputs'!$B$120</f>
        <v>0</v>
      </c>
      <c r="N14" s="26">
        <f>N13*'Model Inputs'!$C$120</f>
        <v>35</v>
      </c>
      <c r="O14" s="26">
        <f>O13*'Model Inputs'!$C$120</f>
        <v>35</v>
      </c>
      <c r="P14" s="26">
        <f>P13*'Model Inputs'!$C$120</f>
        <v>35</v>
      </c>
      <c r="Q14" s="26">
        <f>Q13*'Model Inputs'!$C$120</f>
        <v>35</v>
      </c>
      <c r="R14" s="26">
        <f>R13*'Model Inputs'!$C$120</f>
        <v>35</v>
      </c>
      <c r="S14" s="26">
        <f>S13*'Model Inputs'!$C$120</f>
        <v>35</v>
      </c>
      <c r="T14" s="26">
        <f>T13*'Model Inputs'!$C$120</f>
        <v>35</v>
      </c>
      <c r="U14" s="26">
        <f>U13*'Model Inputs'!$C$120</f>
        <v>35</v>
      </c>
      <c r="V14" s="26">
        <f>V13*'Model Inputs'!$C$120</f>
        <v>35</v>
      </c>
      <c r="W14" s="26">
        <f>W13*'Model Inputs'!$C$120</f>
        <v>35</v>
      </c>
      <c r="X14" s="26">
        <f>X13*'Model Inputs'!$C$120</f>
        <v>35</v>
      </c>
      <c r="Y14" s="26">
        <f>Y13*'Model Inputs'!$C$120</f>
        <v>70</v>
      </c>
      <c r="Z14" s="26">
        <f>Z13*'Model Inputs'!$D$120</f>
        <v>90</v>
      </c>
      <c r="AA14" s="26">
        <f>AA13*'Model Inputs'!$D$120</f>
        <v>90</v>
      </c>
      <c r="AB14" s="26">
        <f>AB13*'Model Inputs'!$D$120</f>
        <v>90</v>
      </c>
      <c r="AC14" s="26">
        <f>AC13*'Model Inputs'!$D$120</f>
        <v>90</v>
      </c>
      <c r="AD14" s="26">
        <f>AD13*'Model Inputs'!$D$120</f>
        <v>90</v>
      </c>
      <c r="AE14" s="26">
        <f>AE13*'Model Inputs'!$D$120</f>
        <v>90</v>
      </c>
      <c r="AF14" s="26">
        <f>AF13*'Model Inputs'!$D$120</f>
        <v>90</v>
      </c>
      <c r="AG14" s="26">
        <f>AG13*'Model Inputs'!$D$120</f>
        <v>90</v>
      </c>
      <c r="AH14" s="26">
        <f>AH13*'Model Inputs'!$D$120</f>
        <v>90</v>
      </c>
      <c r="AI14" s="26">
        <f>AI13*'Model Inputs'!$D$120</f>
        <v>90</v>
      </c>
      <c r="AJ14" s="26">
        <f>AJ13*'Model Inputs'!$D$120</f>
        <v>90</v>
      </c>
      <c r="AK14" s="26">
        <f>AK13*'Model Inputs'!$D$120</f>
        <v>90</v>
      </c>
      <c r="AL14" s="3">
        <f>AL13*'Model Inputs'!$D$120</f>
        <v>0</v>
      </c>
    </row>
    <row r="15" spans="1:49" ht="14.25" customHeight="1" x14ac:dyDescent="0.45">
      <c r="A15" s="28" t="s">
        <v>126</v>
      </c>
      <c r="B15" s="52">
        <f t="shared" ref="B15:AK15" si="0">B5+B7+B9+B11+B13+B18</f>
        <v>0</v>
      </c>
      <c r="C15" s="52">
        <f t="shared" si="0"/>
        <v>0</v>
      </c>
      <c r="D15" s="52">
        <f t="shared" si="0"/>
        <v>0</v>
      </c>
      <c r="E15" s="52">
        <f t="shared" si="0"/>
        <v>9</v>
      </c>
      <c r="F15" s="52">
        <f t="shared" si="0"/>
        <v>6</v>
      </c>
      <c r="G15" s="52">
        <f t="shared" si="0"/>
        <v>8</v>
      </c>
      <c r="H15" s="52">
        <f t="shared" si="0"/>
        <v>10</v>
      </c>
      <c r="I15" s="52">
        <f t="shared" si="0"/>
        <v>10</v>
      </c>
      <c r="J15" s="52">
        <f t="shared" si="0"/>
        <v>10</v>
      </c>
      <c r="K15" s="52">
        <f t="shared" si="0"/>
        <v>10</v>
      </c>
      <c r="L15" s="52">
        <f t="shared" si="0"/>
        <v>10</v>
      </c>
      <c r="M15" s="52">
        <f t="shared" si="0"/>
        <v>10</v>
      </c>
      <c r="N15" s="52">
        <f t="shared" si="0"/>
        <v>10</v>
      </c>
      <c r="O15" s="52">
        <f t="shared" si="0"/>
        <v>10</v>
      </c>
      <c r="P15" s="52">
        <f t="shared" si="0"/>
        <v>11</v>
      </c>
      <c r="Q15" s="52">
        <f t="shared" si="0"/>
        <v>13</v>
      </c>
      <c r="R15" s="52">
        <f t="shared" si="0"/>
        <v>14</v>
      </c>
      <c r="S15" s="52">
        <f t="shared" si="0"/>
        <v>18</v>
      </c>
      <c r="T15" s="52">
        <f t="shared" si="0"/>
        <v>19</v>
      </c>
      <c r="U15" s="52">
        <f t="shared" si="0"/>
        <v>19</v>
      </c>
      <c r="V15" s="52">
        <f t="shared" si="0"/>
        <v>20</v>
      </c>
      <c r="W15" s="52">
        <f t="shared" si="0"/>
        <v>21</v>
      </c>
      <c r="X15" s="52">
        <f t="shared" si="0"/>
        <v>23</v>
      </c>
      <c r="Y15" s="52">
        <f t="shared" si="0"/>
        <v>25</v>
      </c>
      <c r="Z15" s="52">
        <f t="shared" si="0"/>
        <v>22</v>
      </c>
      <c r="AA15" s="52">
        <f t="shared" si="0"/>
        <v>22</v>
      </c>
      <c r="AB15" s="52">
        <f t="shared" si="0"/>
        <v>22</v>
      </c>
      <c r="AC15" s="52">
        <f t="shared" si="0"/>
        <v>24</v>
      </c>
      <c r="AD15" s="52">
        <f t="shared" si="0"/>
        <v>24</v>
      </c>
      <c r="AE15" s="52">
        <f t="shared" si="0"/>
        <v>24</v>
      </c>
      <c r="AF15" s="52">
        <f t="shared" si="0"/>
        <v>26</v>
      </c>
      <c r="AG15" s="52">
        <f t="shared" si="0"/>
        <v>26</v>
      </c>
      <c r="AH15" s="52">
        <f t="shared" si="0"/>
        <v>26</v>
      </c>
      <c r="AI15" s="52">
        <f t="shared" si="0"/>
        <v>27</v>
      </c>
      <c r="AJ15" s="52">
        <f t="shared" si="0"/>
        <v>27</v>
      </c>
      <c r="AK15" s="52">
        <f t="shared" si="0"/>
        <v>27</v>
      </c>
      <c r="AL15" s="3">
        <f>AL5+AL7+AL9+AL11+AL13</f>
        <v>0</v>
      </c>
    </row>
    <row r="16" spans="1:49" ht="14.25" customHeight="1" x14ac:dyDescent="0.45">
      <c r="A16" s="28" t="s">
        <v>127</v>
      </c>
      <c r="B16" s="52">
        <f t="shared" ref="B16:AK16" si="1">B6+B8+B10+B12+B14</f>
        <v>0</v>
      </c>
      <c r="C16" s="52">
        <f t="shared" si="1"/>
        <v>0</v>
      </c>
      <c r="D16" s="52">
        <f t="shared" si="1"/>
        <v>0</v>
      </c>
      <c r="E16" s="52">
        <f t="shared" si="1"/>
        <v>220</v>
      </c>
      <c r="F16" s="52">
        <f t="shared" si="1"/>
        <v>132</v>
      </c>
      <c r="G16" s="52">
        <f t="shared" si="1"/>
        <v>198</v>
      </c>
      <c r="H16" s="52">
        <f t="shared" si="1"/>
        <v>242</v>
      </c>
      <c r="I16" s="52">
        <f t="shared" si="1"/>
        <v>242</v>
      </c>
      <c r="J16" s="52">
        <f t="shared" si="1"/>
        <v>242</v>
      </c>
      <c r="K16" s="52">
        <f t="shared" si="1"/>
        <v>242</v>
      </c>
      <c r="L16" s="52">
        <f t="shared" si="1"/>
        <v>242</v>
      </c>
      <c r="M16" s="52">
        <f t="shared" si="1"/>
        <v>242</v>
      </c>
      <c r="N16" s="52">
        <f t="shared" si="1"/>
        <v>275</v>
      </c>
      <c r="O16" s="52">
        <f t="shared" si="1"/>
        <v>275</v>
      </c>
      <c r="P16" s="52">
        <f t="shared" si="1"/>
        <v>275</v>
      </c>
      <c r="Q16" s="52">
        <f t="shared" si="1"/>
        <v>310</v>
      </c>
      <c r="R16" s="52">
        <f t="shared" si="1"/>
        <v>335</v>
      </c>
      <c r="S16" s="52">
        <f t="shared" si="1"/>
        <v>400</v>
      </c>
      <c r="T16" s="52">
        <f t="shared" si="1"/>
        <v>425</v>
      </c>
      <c r="U16" s="52">
        <f t="shared" si="1"/>
        <v>425</v>
      </c>
      <c r="V16" s="52">
        <f t="shared" si="1"/>
        <v>425</v>
      </c>
      <c r="W16" s="52">
        <f t="shared" si="1"/>
        <v>450</v>
      </c>
      <c r="X16" s="52">
        <f t="shared" si="1"/>
        <v>525</v>
      </c>
      <c r="Y16" s="52">
        <f t="shared" si="1"/>
        <v>585</v>
      </c>
      <c r="Z16" s="52">
        <f t="shared" si="1"/>
        <v>614</v>
      </c>
      <c r="AA16" s="52">
        <f t="shared" si="1"/>
        <v>614</v>
      </c>
      <c r="AB16" s="52">
        <f t="shared" si="1"/>
        <v>614</v>
      </c>
      <c r="AC16" s="52">
        <f t="shared" si="1"/>
        <v>614</v>
      </c>
      <c r="AD16" s="52">
        <f t="shared" si="1"/>
        <v>614</v>
      </c>
      <c r="AE16" s="52">
        <f t="shared" si="1"/>
        <v>614</v>
      </c>
      <c r="AF16" s="52">
        <f t="shared" si="1"/>
        <v>614</v>
      </c>
      <c r="AG16" s="52">
        <f t="shared" si="1"/>
        <v>614</v>
      </c>
      <c r="AH16" s="52">
        <f t="shared" si="1"/>
        <v>614</v>
      </c>
      <c r="AI16" s="52">
        <f t="shared" si="1"/>
        <v>614</v>
      </c>
      <c r="AJ16" s="52">
        <f t="shared" si="1"/>
        <v>614</v>
      </c>
      <c r="AK16" s="52">
        <f t="shared" si="1"/>
        <v>614</v>
      </c>
      <c r="AL16" s="12">
        <f>AL6+AL8+AL10+AL12+AL14</f>
        <v>0</v>
      </c>
    </row>
    <row r="17" spans="1:49" ht="14.25" customHeight="1" x14ac:dyDescent="0.45">
      <c r="A17" s="37" t="s">
        <v>128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f>'Model Inputs'!B148</f>
        <v>0</v>
      </c>
      <c r="O17" s="37">
        <f>'Model Inputs'!C148</f>
        <v>0</v>
      </c>
      <c r="P17" s="37">
        <f>'Model Inputs'!D148</f>
        <v>50</v>
      </c>
      <c r="Q17" s="37">
        <f>'Model Inputs'!E148</f>
        <v>50</v>
      </c>
      <c r="R17" s="37">
        <f>'Model Inputs'!F148</f>
        <v>50</v>
      </c>
      <c r="S17" s="37">
        <f>'Model Inputs'!G148</f>
        <v>100</v>
      </c>
      <c r="T17" s="37">
        <f>'Model Inputs'!H148</f>
        <v>100</v>
      </c>
      <c r="U17" s="37">
        <f>'Model Inputs'!I148</f>
        <v>100</v>
      </c>
      <c r="V17" s="37">
        <f>'Model Inputs'!J148</f>
        <v>150</v>
      </c>
      <c r="W17" s="37">
        <f>'Model Inputs'!K148</f>
        <v>150</v>
      </c>
      <c r="X17" s="37">
        <f>'Model Inputs'!L148</f>
        <v>150</v>
      </c>
      <c r="Y17" s="37">
        <f>'Model Inputs'!M148</f>
        <v>150</v>
      </c>
      <c r="Z17" s="37">
        <f>'Model Inputs'!B$145</f>
        <v>125</v>
      </c>
      <c r="AA17" s="37">
        <f>'Model Inputs'!C$145</f>
        <v>125</v>
      </c>
      <c r="AB17" s="37">
        <f>'Model Inputs'!D$145</f>
        <v>125</v>
      </c>
      <c r="AC17" s="37">
        <f>'Model Inputs'!E$145</f>
        <v>250</v>
      </c>
      <c r="AD17" s="37">
        <f>'Model Inputs'!F$145</f>
        <v>250</v>
      </c>
      <c r="AE17" s="37">
        <f>'Model Inputs'!G$145</f>
        <v>250</v>
      </c>
      <c r="AF17" s="37">
        <f>'Model Inputs'!H$145</f>
        <v>425</v>
      </c>
      <c r="AG17" s="37">
        <f>'Model Inputs'!I$145</f>
        <v>425</v>
      </c>
      <c r="AH17" s="37">
        <f>'Model Inputs'!J$145</f>
        <v>425</v>
      </c>
      <c r="AI17" s="37">
        <f>'Model Inputs'!K$145</f>
        <v>550</v>
      </c>
      <c r="AJ17" s="37">
        <f>'Model Inputs'!L$145</f>
        <v>550</v>
      </c>
      <c r="AK17" s="37">
        <f>'Model Inputs'!M$145</f>
        <v>550</v>
      </c>
    </row>
    <row r="18" spans="1:49" ht="14.25" customHeight="1" x14ac:dyDescent="0.45">
      <c r="A18" s="53" t="s">
        <v>129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f>'Model Inputs'!B147</f>
        <v>0</v>
      </c>
      <c r="O18" s="51">
        <f>'Model Inputs'!C147</f>
        <v>0</v>
      </c>
      <c r="P18" s="51">
        <f>'Model Inputs'!D147</f>
        <v>1</v>
      </c>
      <c r="Q18" s="51">
        <f>'Model Inputs'!E147</f>
        <v>1</v>
      </c>
      <c r="R18" s="51">
        <f>'Model Inputs'!F147</f>
        <v>1</v>
      </c>
      <c r="S18" s="51">
        <f>'Model Inputs'!G147</f>
        <v>2</v>
      </c>
      <c r="T18" s="51">
        <f>'Model Inputs'!H147</f>
        <v>2</v>
      </c>
      <c r="U18" s="51">
        <f>'Model Inputs'!I147</f>
        <v>2</v>
      </c>
      <c r="V18" s="51">
        <f>'Model Inputs'!J147</f>
        <v>3</v>
      </c>
      <c r="W18" s="51">
        <f>'Model Inputs'!K147</f>
        <v>3</v>
      </c>
      <c r="X18" s="51">
        <f>'Model Inputs'!L147</f>
        <v>3</v>
      </c>
      <c r="Y18" s="51">
        <f>'Model Inputs'!M147</f>
        <v>3</v>
      </c>
      <c r="Z18" s="51">
        <f>'Model Inputs'!B144</f>
        <v>2</v>
      </c>
      <c r="AA18" s="51">
        <f>'Model Inputs'!C144</f>
        <v>2</v>
      </c>
      <c r="AB18" s="51">
        <f>'Model Inputs'!D144</f>
        <v>2</v>
      </c>
      <c r="AC18" s="51">
        <f>'Model Inputs'!E144</f>
        <v>4</v>
      </c>
      <c r="AD18" s="51">
        <f>'Model Inputs'!F144</f>
        <v>4</v>
      </c>
      <c r="AE18" s="51">
        <f>'Model Inputs'!G144</f>
        <v>4</v>
      </c>
      <c r="AF18" s="51">
        <f>'Model Inputs'!H144</f>
        <v>6</v>
      </c>
      <c r="AG18" s="51">
        <f>'Model Inputs'!I144</f>
        <v>6</v>
      </c>
      <c r="AH18" s="51">
        <f>'Model Inputs'!J144</f>
        <v>6</v>
      </c>
      <c r="AI18" s="51">
        <f>'Model Inputs'!K144</f>
        <v>7</v>
      </c>
      <c r="AJ18" s="51">
        <f>'Model Inputs'!L144</f>
        <v>7</v>
      </c>
      <c r="AK18" s="51">
        <f>'Model Inputs'!M144</f>
        <v>7</v>
      </c>
      <c r="AL18" s="4"/>
    </row>
    <row r="19" spans="1:49" ht="14.25" customHeight="1" x14ac:dyDescent="0.45">
      <c r="A19" s="48" t="s">
        <v>130</v>
      </c>
      <c r="B19" s="24">
        <f>'Model Inputs'!B20</f>
        <v>0</v>
      </c>
      <c r="C19" s="24">
        <f>'Model Inputs'!C20</f>
        <v>0</v>
      </c>
      <c r="D19" s="24">
        <f>'Model Inputs'!D20</f>
        <v>0</v>
      </c>
      <c r="E19" s="24">
        <f>'Model Inputs'!E20</f>
        <v>22</v>
      </c>
      <c r="F19" s="24">
        <f>'Model Inputs'!F20</f>
        <v>12</v>
      </c>
      <c r="G19" s="24">
        <f>'Model Inputs'!G20</f>
        <v>17</v>
      </c>
      <c r="H19" s="24">
        <f>'Model Inputs'!H20</f>
        <v>19</v>
      </c>
      <c r="I19" s="24">
        <f>'Model Inputs'!I20</f>
        <v>18</v>
      </c>
      <c r="J19" s="24">
        <f>'Model Inputs'!J20</f>
        <v>17</v>
      </c>
      <c r="K19" s="24">
        <f>'Model Inputs'!K20</f>
        <v>16</v>
      </c>
      <c r="L19" s="24">
        <f>'Model Inputs'!L20</f>
        <v>15</v>
      </c>
      <c r="M19" s="24">
        <f>'Model Inputs'!M20</f>
        <v>15</v>
      </c>
      <c r="N19" s="24">
        <f>'Model Inputs'!N20</f>
        <v>16</v>
      </c>
      <c r="O19" s="24">
        <f>'Model Inputs'!O20</f>
        <v>16</v>
      </c>
      <c r="P19" s="24">
        <f>'Model Inputs'!P20</f>
        <v>15</v>
      </c>
      <c r="Q19" s="24">
        <f>'Model Inputs'!Q20</f>
        <v>16</v>
      </c>
      <c r="R19" s="24">
        <f>'Model Inputs'!R20</f>
        <v>17</v>
      </c>
      <c r="S19" s="24">
        <f>'Model Inputs'!S20</f>
        <v>19</v>
      </c>
      <c r="T19" s="24">
        <f>'Model Inputs'!T20</f>
        <v>20</v>
      </c>
      <c r="U19" s="24">
        <f>'Model Inputs'!U20</f>
        <v>19</v>
      </c>
      <c r="V19" s="24">
        <f>'Model Inputs'!V20</f>
        <v>18</v>
      </c>
      <c r="W19" s="24">
        <f>'Model Inputs'!W20</f>
        <v>18</v>
      </c>
      <c r="X19" s="24">
        <f>'Model Inputs'!X20</f>
        <v>21</v>
      </c>
      <c r="Y19" s="24">
        <f>'Model Inputs'!Y20</f>
        <v>23</v>
      </c>
      <c r="Z19" s="24">
        <f>'Model Inputs'!Z20</f>
        <v>23</v>
      </c>
      <c r="AA19" s="24">
        <f>'Model Inputs'!AA20</f>
        <v>22</v>
      </c>
      <c r="AB19" s="24">
        <f>'Model Inputs'!AB20</f>
        <v>21</v>
      </c>
      <c r="AC19" s="24">
        <f>'Model Inputs'!AC20</f>
        <v>21</v>
      </c>
      <c r="AD19" s="24">
        <f>'Model Inputs'!AD20</f>
        <v>20</v>
      </c>
      <c r="AE19" s="24">
        <f>'Model Inputs'!AE20</f>
        <v>20</v>
      </c>
      <c r="AF19" s="24">
        <f>'Model Inputs'!AF20</f>
        <v>19</v>
      </c>
      <c r="AG19" s="24">
        <f>'Model Inputs'!AG20</f>
        <v>19</v>
      </c>
      <c r="AH19" s="24">
        <f>'Model Inputs'!AH20</f>
        <v>18</v>
      </c>
      <c r="AI19" s="24">
        <f>'Model Inputs'!AI20</f>
        <v>18</v>
      </c>
      <c r="AJ19" s="24">
        <f>'Model Inputs'!AJ20</f>
        <v>18</v>
      </c>
      <c r="AK19" s="24">
        <f>'Model Inputs'!AK20</f>
        <v>17</v>
      </c>
      <c r="AL19" s="3">
        <f>'Model Inputs'!AL20</f>
        <v>0</v>
      </c>
    </row>
    <row r="20" spans="1:49" ht="14.25" customHeight="1" x14ac:dyDescent="0.45">
      <c r="A20" s="49" t="s">
        <v>131</v>
      </c>
      <c r="B20" s="54">
        <f>'Model Inputs'!B19</f>
        <v>0</v>
      </c>
      <c r="C20" s="54">
        <f>'Model Inputs'!C19</f>
        <v>0</v>
      </c>
      <c r="D20" s="54">
        <f>'Model Inputs'!D19</f>
        <v>0</v>
      </c>
      <c r="E20" s="54">
        <f>'Model Inputs'!E19</f>
        <v>22</v>
      </c>
      <c r="F20" s="54">
        <f>'Model Inputs'!F19</f>
        <v>13</v>
      </c>
      <c r="G20" s="54">
        <f>'Model Inputs'!G19</f>
        <v>20</v>
      </c>
      <c r="H20" s="54">
        <f>'Model Inputs'!H19</f>
        <v>24</v>
      </c>
      <c r="I20" s="54">
        <f>'Model Inputs'!I19</f>
        <v>24</v>
      </c>
      <c r="J20" s="54">
        <f>'Model Inputs'!J19</f>
        <v>24</v>
      </c>
      <c r="K20" s="54">
        <f>'Model Inputs'!K19</f>
        <v>24</v>
      </c>
      <c r="L20" s="54">
        <f>'Model Inputs'!L19</f>
        <v>24</v>
      </c>
      <c r="M20" s="54">
        <f>'Model Inputs'!M19</f>
        <v>24</v>
      </c>
      <c r="N20" s="54">
        <f>'Model Inputs'!N19</f>
        <v>28</v>
      </c>
      <c r="O20" s="54">
        <f>'Model Inputs'!O19</f>
        <v>28</v>
      </c>
      <c r="P20" s="54">
        <f>'Model Inputs'!P19</f>
        <v>28</v>
      </c>
      <c r="Q20" s="54">
        <f>'Model Inputs'!Q19</f>
        <v>31</v>
      </c>
      <c r="R20" s="54">
        <f>'Model Inputs'!R19</f>
        <v>34</v>
      </c>
      <c r="S20" s="54">
        <f>'Model Inputs'!S19</f>
        <v>40</v>
      </c>
      <c r="T20" s="54">
        <f>'Model Inputs'!T19</f>
        <v>43</v>
      </c>
      <c r="U20" s="54">
        <f>'Model Inputs'!U19</f>
        <v>43</v>
      </c>
      <c r="V20" s="54">
        <f>'Model Inputs'!V19</f>
        <v>43</v>
      </c>
      <c r="W20" s="54">
        <f>'Model Inputs'!W19</f>
        <v>45</v>
      </c>
      <c r="X20" s="54">
        <f>'Model Inputs'!X19</f>
        <v>53</v>
      </c>
      <c r="Y20" s="54">
        <f>'Model Inputs'!Y19</f>
        <v>59</v>
      </c>
      <c r="Z20" s="54">
        <f>'Model Inputs'!Z19</f>
        <v>61</v>
      </c>
      <c r="AA20" s="54">
        <f>'Model Inputs'!AA19</f>
        <v>61</v>
      </c>
      <c r="AB20" s="54">
        <f>'Model Inputs'!AB19</f>
        <v>61</v>
      </c>
      <c r="AC20" s="54">
        <f>'Model Inputs'!AC19</f>
        <v>61</v>
      </c>
      <c r="AD20" s="54">
        <f>'Model Inputs'!AD19</f>
        <v>61</v>
      </c>
      <c r="AE20" s="54">
        <f>'Model Inputs'!AE19</f>
        <v>61</v>
      </c>
      <c r="AF20" s="54">
        <f>'Model Inputs'!AF19</f>
        <v>61</v>
      </c>
      <c r="AG20" s="54">
        <f>'Model Inputs'!AG19</f>
        <v>61</v>
      </c>
      <c r="AH20" s="54">
        <f>'Model Inputs'!AH19</f>
        <v>61</v>
      </c>
      <c r="AI20" s="54">
        <f>'Model Inputs'!AI19</f>
        <v>61</v>
      </c>
      <c r="AJ20" s="54">
        <f>'Model Inputs'!AJ19</f>
        <v>61</v>
      </c>
      <c r="AK20" s="54">
        <f>'Model Inputs'!AK19</f>
        <v>61</v>
      </c>
      <c r="AL20" s="12">
        <f>'Model Inputs'!AL19</f>
        <v>0</v>
      </c>
    </row>
    <row r="21" spans="1:49" ht="14.25" customHeight="1" x14ac:dyDescent="0.45">
      <c r="A21" s="20" t="s">
        <v>132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4"/>
    </row>
    <row r="22" spans="1:49" ht="14.25" customHeight="1" x14ac:dyDescent="0.45">
      <c r="A22" s="48" t="s">
        <v>133</v>
      </c>
      <c r="B22" s="24">
        <v>0</v>
      </c>
      <c r="C22" s="24">
        <f>ROUND(B35*'Model Inputs'!C41,0)</f>
        <v>0</v>
      </c>
      <c r="D22" s="24">
        <f>ROUND(C35*'Model Inputs'!D41,0)</f>
        <v>0</v>
      </c>
      <c r="E22" s="24">
        <f>ROUND(D35*'Model Inputs'!E41,0)</f>
        <v>0</v>
      </c>
      <c r="F22" s="24">
        <f>ROUND(E35*'Model Inputs'!F41,0)</f>
        <v>0</v>
      </c>
      <c r="G22" s="24">
        <f>ROUND(F35*'Model Inputs'!G41,0)</f>
        <v>0</v>
      </c>
      <c r="H22" s="24">
        <f>ROUND(G35*'Model Inputs'!H41,0)</f>
        <v>0</v>
      </c>
      <c r="I22" s="24">
        <f>ROUND(H35*'Model Inputs'!I41,0)</f>
        <v>0</v>
      </c>
      <c r="J22" s="24">
        <f>ROUND(I35*'Model Inputs'!J41,0)</f>
        <v>1</v>
      </c>
      <c r="K22" s="24">
        <f>ROUND(J35*'Model Inputs'!K41,0)</f>
        <v>1</v>
      </c>
      <c r="L22" s="24">
        <f>ROUND(K35*'Model Inputs'!L41,0)</f>
        <v>1</v>
      </c>
      <c r="M22" s="24">
        <f>ROUND(L35*'Model Inputs'!M41,0)</f>
        <v>1</v>
      </c>
      <c r="N22" s="24">
        <f>ROUND(M35*'Model Inputs'!N41,0)</f>
        <v>1</v>
      </c>
      <c r="O22" s="24">
        <f>ROUND(N35*'Model Inputs'!O41,0)</f>
        <v>2</v>
      </c>
      <c r="P22" s="24">
        <f>ROUND(O35*'Model Inputs'!P41,0)</f>
        <v>2</v>
      </c>
      <c r="Q22" s="24">
        <f>ROUND(P35*'Model Inputs'!Q41,0)</f>
        <v>2</v>
      </c>
      <c r="R22" s="24">
        <f>ROUND(Q35*'Model Inputs'!R41,0)</f>
        <v>2</v>
      </c>
      <c r="S22" s="24">
        <f>ROUND(R35*'Model Inputs'!S41,0)</f>
        <v>2</v>
      </c>
      <c r="T22" s="24">
        <f>ROUND(S35*'Model Inputs'!T41,0)</f>
        <v>3</v>
      </c>
      <c r="U22" s="24">
        <f>ROUND(T35*'Model Inputs'!U41,0)</f>
        <v>3</v>
      </c>
      <c r="V22" s="24">
        <f>ROUND(U35*'Model Inputs'!V41,0)</f>
        <v>3</v>
      </c>
      <c r="W22" s="24">
        <f>ROUND(V35*'Model Inputs'!W41,0)</f>
        <v>3</v>
      </c>
      <c r="X22" s="24">
        <f>ROUND(W35*'Model Inputs'!X41,0)</f>
        <v>4</v>
      </c>
      <c r="Y22" s="24">
        <f>ROUND(X35*'Model Inputs'!Y41,0)</f>
        <v>4</v>
      </c>
      <c r="Z22" s="24">
        <f>ROUND(Y35*'Model Inputs'!Z41,0)</f>
        <v>6</v>
      </c>
      <c r="AA22" s="24">
        <f>ROUND(Z35*'Model Inputs'!AA41,0)</f>
        <v>6</v>
      </c>
      <c r="AB22" s="24">
        <f>ROUND(AA35*'Model Inputs'!AB41,0)</f>
        <v>6</v>
      </c>
      <c r="AC22" s="24">
        <f>ROUND(AB35*'Model Inputs'!AC41,0)</f>
        <v>7</v>
      </c>
      <c r="AD22" s="24">
        <f>ROUND(AC35*'Model Inputs'!AD41,0)</f>
        <v>7</v>
      </c>
      <c r="AE22" s="24">
        <f>ROUND(AD35*'Model Inputs'!AE41,0)</f>
        <v>8</v>
      </c>
      <c r="AF22" s="24">
        <f>ROUND(AE35*'Model Inputs'!AF41,0)</f>
        <v>8</v>
      </c>
      <c r="AG22" s="24">
        <f>ROUND(AF35*'Model Inputs'!AG41,0)</f>
        <v>8</v>
      </c>
      <c r="AH22" s="24">
        <f>ROUND(AG35*'Model Inputs'!AH41,0)</f>
        <v>9</v>
      </c>
      <c r="AI22" s="24">
        <f>ROUND(AH35*'Model Inputs'!AI41,0)</f>
        <v>9</v>
      </c>
      <c r="AJ22" s="24">
        <f>ROUND(AI35*'Model Inputs'!AJ41,0)</f>
        <v>10</v>
      </c>
      <c r="AK22" s="24">
        <f>ROUND(AJ35*'Model Inputs'!AK41,0)</f>
        <v>10</v>
      </c>
      <c r="AL22" s="3">
        <f>ROUND(AK35*'Model Inputs'!AL41,0)</f>
        <v>11</v>
      </c>
      <c r="AM22">
        <f>ROUND(AL35*'Model Inputs'!$B$41,0)</f>
        <v>5</v>
      </c>
      <c r="AN22">
        <f>ROUND(AM35*'Model Inputs'!$B$41,0)</f>
        <v>0</v>
      </c>
    </row>
    <row r="23" spans="1:49" ht="14.25" customHeight="1" x14ac:dyDescent="0.45">
      <c r="A23" s="49" t="s">
        <v>134</v>
      </c>
      <c r="B23" s="26">
        <f>B22*IF(1&lt;=12,'Model Inputs'!$B$122,IF(1&lt;=24,'Model Inputs'!$C$122,'Model Inputs'!$D$122))</f>
        <v>0</v>
      </c>
      <c r="C23" s="26">
        <f>C22*IF(2&lt;=12,'Model Inputs'!$B$122,IF(2&lt;=24,'Model Inputs'!$C$122,'Model Inputs'!$D$122))</f>
        <v>0</v>
      </c>
      <c r="D23" s="26">
        <f>D22*IF(3&lt;=12,'Model Inputs'!$B$122,IF(3&lt;=24,'Model Inputs'!$C$122,'Model Inputs'!$D$122))</f>
        <v>0</v>
      </c>
      <c r="E23" s="26">
        <f>E22*IF(4&lt;=12,'Model Inputs'!$B$122,IF(4&lt;=24,'Model Inputs'!$C$122,'Model Inputs'!$D$122))</f>
        <v>0</v>
      </c>
      <c r="F23" s="26">
        <f>F22*IF(5&lt;=12,'Model Inputs'!$B$122,IF(5&lt;=24,'Model Inputs'!$C$122,'Model Inputs'!$D$122))</f>
        <v>0</v>
      </c>
      <c r="G23" s="26">
        <f>G22*IF(6&lt;=12,'Model Inputs'!$B$122,IF(6&lt;=24,'Model Inputs'!$C$122,'Model Inputs'!$D$122))</f>
        <v>0</v>
      </c>
      <c r="H23" s="26">
        <f>H22*IF(7&lt;=12,'Model Inputs'!$B$122,IF(7&lt;=24,'Model Inputs'!$C$122,'Model Inputs'!$D$122))</f>
        <v>0</v>
      </c>
      <c r="I23" s="26">
        <f>I22*IF(8&lt;=12,'Model Inputs'!$B$122,IF(8&lt;=24,'Model Inputs'!$C$122,'Model Inputs'!$D$122))</f>
        <v>0</v>
      </c>
      <c r="J23" s="26">
        <f>J22*IF(9&lt;=12,'Model Inputs'!$B$122,IF(9&lt;=24,'Model Inputs'!$C$122,'Model Inputs'!$D$122))</f>
        <v>20</v>
      </c>
      <c r="K23" s="26">
        <f>K22*IF(10&lt;=12,'Model Inputs'!$B$122,IF(10&lt;=24,'Model Inputs'!$C$122,'Model Inputs'!$D$122))</f>
        <v>20</v>
      </c>
      <c r="L23" s="26">
        <f>L22*IF(11&lt;=12,'Model Inputs'!$B$122,IF(11&lt;=24,'Model Inputs'!$C$122,'Model Inputs'!$D$122))</f>
        <v>20</v>
      </c>
      <c r="M23" s="26">
        <f>M22*IF(12&lt;=12,'Model Inputs'!$B$122,IF(12&lt;=24,'Model Inputs'!$C$122,'Model Inputs'!$D$122))</f>
        <v>20</v>
      </c>
      <c r="N23" s="26">
        <f>N22*IF(13&lt;=12,'Model Inputs'!$B$122,IF(13&lt;=24,'Model Inputs'!$C$122,'Model Inputs'!$D$122))</f>
        <v>25</v>
      </c>
      <c r="O23" s="26">
        <f>O22*IF(14&lt;=12,'Model Inputs'!$B$122,IF(14&lt;=24,'Model Inputs'!$C$122,'Model Inputs'!$D$122))</f>
        <v>50</v>
      </c>
      <c r="P23" s="26">
        <f>P22*IF(15&lt;=12,'Model Inputs'!$B$122,IF(15&lt;=24,'Model Inputs'!$C$122,'Model Inputs'!$D$122))</f>
        <v>50</v>
      </c>
      <c r="Q23" s="26">
        <f>Q22*IF(16&lt;=12,'Model Inputs'!$B$122,IF(16&lt;=24,'Model Inputs'!$C$122,'Model Inputs'!$D$122))</f>
        <v>50</v>
      </c>
      <c r="R23" s="26">
        <f>R22*IF(17&lt;=12,'Model Inputs'!$B$122,IF(17&lt;=24,'Model Inputs'!$C$122,'Model Inputs'!$D$122))</f>
        <v>50</v>
      </c>
      <c r="S23" s="26">
        <f>S22*IF(18&lt;=12,'Model Inputs'!$B$122,IF(18&lt;=24,'Model Inputs'!$C$122,'Model Inputs'!$D$122))</f>
        <v>50</v>
      </c>
      <c r="T23" s="26">
        <f>T22*IF(19&lt;=12,'Model Inputs'!$B$122,IF(19&lt;=24,'Model Inputs'!$C$122,'Model Inputs'!$D$122))</f>
        <v>75</v>
      </c>
      <c r="U23" s="26">
        <f>U22*IF(20&lt;=12,'Model Inputs'!$B$122,IF(20&lt;=24,'Model Inputs'!$C$122,'Model Inputs'!$D$122))</f>
        <v>75</v>
      </c>
      <c r="V23" s="26">
        <f>V22*IF(21&lt;=12,'Model Inputs'!$B$122,IF(21&lt;=24,'Model Inputs'!$C$122,'Model Inputs'!$D$122))</f>
        <v>75</v>
      </c>
      <c r="W23" s="26">
        <f>W22*IF(22&lt;=12,'Model Inputs'!$B$122,IF(22&lt;=24,'Model Inputs'!$C$122,'Model Inputs'!$D$122))</f>
        <v>75</v>
      </c>
      <c r="X23" s="26">
        <f>X22*IF(23&lt;=12,'Model Inputs'!$B$122,IF(23&lt;=24,'Model Inputs'!$C$122,'Model Inputs'!$D$122))</f>
        <v>100</v>
      </c>
      <c r="Y23" s="26">
        <f>Y22*IF(24&lt;=12,'Model Inputs'!$B$122,IF(24&lt;=24,'Model Inputs'!$C$122,'Model Inputs'!$D$122))</f>
        <v>100</v>
      </c>
      <c r="Z23" s="26">
        <f>Z22*IF(25&lt;=12,'Model Inputs'!$B$122,IF(25&lt;=24,'Model Inputs'!$C$122,'Model Inputs'!$D$122))</f>
        <v>168</v>
      </c>
      <c r="AA23" s="26">
        <f>AA22*IF(26&lt;=12,'Model Inputs'!$B$122,IF(26&lt;=24,'Model Inputs'!$C$122,'Model Inputs'!$D$122))</f>
        <v>168</v>
      </c>
      <c r="AB23" s="26">
        <f>AB22*IF(27&lt;=12,'Model Inputs'!$B$122,IF(27&lt;=24,'Model Inputs'!$C$122,'Model Inputs'!$D$122))</f>
        <v>168</v>
      </c>
      <c r="AC23" s="26">
        <f>AC22*IF(28&lt;=12,'Model Inputs'!$B$122,IF(28&lt;=24,'Model Inputs'!$C$122,'Model Inputs'!$D$122))</f>
        <v>196</v>
      </c>
      <c r="AD23" s="26">
        <f>AD22*IF(29&lt;=12,'Model Inputs'!$B$122,IF(29&lt;=24,'Model Inputs'!$C$122,'Model Inputs'!$D$122))</f>
        <v>196</v>
      </c>
      <c r="AE23" s="26">
        <f>AE22*IF(30&lt;=12,'Model Inputs'!$B$122,IF(30&lt;=24,'Model Inputs'!$C$122,'Model Inputs'!$D$122))</f>
        <v>224</v>
      </c>
      <c r="AF23" s="26">
        <f>AF22*IF(31&lt;=12,'Model Inputs'!$B$122,IF(31&lt;=24,'Model Inputs'!$C$122,'Model Inputs'!$D$122))</f>
        <v>224</v>
      </c>
      <c r="AG23" s="26">
        <f>AG22*IF(32&lt;=12,'Model Inputs'!$B$122,IF(32&lt;=24,'Model Inputs'!$C$122,'Model Inputs'!$D$122))</f>
        <v>224</v>
      </c>
      <c r="AH23" s="26">
        <f>AH22*IF(33&lt;=12,'Model Inputs'!$B$122,IF(33&lt;=24,'Model Inputs'!$C$122,'Model Inputs'!$D$122))</f>
        <v>252</v>
      </c>
      <c r="AI23" s="26">
        <f>AI22*IF(34&lt;=12,'Model Inputs'!$B$122,IF(34&lt;=24,'Model Inputs'!$C$122,'Model Inputs'!$D$122))</f>
        <v>252</v>
      </c>
      <c r="AJ23" s="26">
        <f>AJ22*IF(35&lt;=12,'Model Inputs'!$B$122,IF(35&lt;=24,'Model Inputs'!$C$122,'Model Inputs'!$D$122))</f>
        <v>280</v>
      </c>
      <c r="AK23" s="26">
        <f>AK22*IF(36&lt;=12,'Model Inputs'!$B$122,IF(36&lt;=24,'Model Inputs'!$C$122,'Model Inputs'!$D$122))</f>
        <v>280</v>
      </c>
      <c r="AL23" s="3">
        <f>AL22*IF(37&lt;=12,'Model Inputs'!$B$122,IF(37&lt;=24,'Model Inputs'!$C$122,'Model Inputs'!$D$122))</f>
        <v>308</v>
      </c>
      <c r="AM23">
        <f>AM22*IF(38&lt;=12,'Model Inputs'!$B$122,IF(38&lt;=24,'Model Inputs'!$C$122,'Model Inputs'!$D$122))</f>
        <v>140</v>
      </c>
      <c r="AN23">
        <f>AN22*IF(39&lt;=12,'Model Inputs'!$B$122,IF(39&lt;=24,'Model Inputs'!$C$122,'Model Inputs'!$D$122))</f>
        <v>0</v>
      </c>
    </row>
    <row r="24" spans="1:49" ht="14.25" customHeight="1" x14ac:dyDescent="0.45">
      <c r="A24" s="20" t="s">
        <v>135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12"/>
    </row>
    <row r="25" spans="1:49" ht="14.25" customHeight="1" x14ac:dyDescent="0.45">
      <c r="A25" s="48" t="s">
        <v>136</v>
      </c>
      <c r="B25" s="50">
        <v>0</v>
      </c>
      <c r="C25" s="50">
        <f t="shared" ref="C25:AL25" si="2">B28</f>
        <v>0</v>
      </c>
      <c r="D25" s="50">
        <f t="shared" si="2"/>
        <v>0</v>
      </c>
      <c r="E25" s="50">
        <f t="shared" si="2"/>
        <v>0</v>
      </c>
      <c r="F25" s="50">
        <f t="shared" si="2"/>
        <v>242</v>
      </c>
      <c r="G25" s="50">
        <f t="shared" si="2"/>
        <v>386</v>
      </c>
      <c r="H25" s="50">
        <f t="shared" si="2"/>
        <v>602</v>
      </c>
      <c r="I25" s="50">
        <f t="shared" si="2"/>
        <v>866</v>
      </c>
      <c r="J25" s="50">
        <f t="shared" si="2"/>
        <v>1129</v>
      </c>
      <c r="K25" s="50">
        <f t="shared" si="2"/>
        <v>1410</v>
      </c>
      <c r="L25" s="50">
        <f t="shared" si="2"/>
        <v>1690</v>
      </c>
      <c r="M25" s="50">
        <f t="shared" si="2"/>
        <v>1969</v>
      </c>
      <c r="N25" s="50">
        <f t="shared" si="2"/>
        <v>2247</v>
      </c>
      <c r="O25" s="50">
        <f t="shared" si="2"/>
        <v>2566</v>
      </c>
      <c r="P25" s="50">
        <f t="shared" si="2"/>
        <v>2909</v>
      </c>
      <c r="Q25" s="50">
        <f t="shared" si="2"/>
        <v>3300</v>
      </c>
      <c r="R25" s="50">
        <f t="shared" si="2"/>
        <v>3728</v>
      </c>
      <c r="S25" s="50">
        <f t="shared" si="2"/>
        <v>4182</v>
      </c>
      <c r="T25" s="50">
        <f t="shared" si="2"/>
        <v>4755</v>
      </c>
      <c r="U25" s="50">
        <f t="shared" si="2"/>
        <v>5379</v>
      </c>
      <c r="V25" s="50">
        <f t="shared" si="2"/>
        <v>6000</v>
      </c>
      <c r="W25" s="50">
        <f t="shared" si="2"/>
        <v>6669</v>
      </c>
      <c r="X25" s="50">
        <f t="shared" si="2"/>
        <v>7362</v>
      </c>
      <c r="Y25" s="50">
        <f t="shared" si="2"/>
        <v>8161</v>
      </c>
      <c r="Z25" s="50">
        <f t="shared" si="2"/>
        <v>9022</v>
      </c>
      <c r="AA25" s="50">
        <f t="shared" si="2"/>
        <v>9954</v>
      </c>
      <c r="AB25" s="50">
        <f t="shared" si="2"/>
        <v>10882</v>
      </c>
      <c r="AC25" s="50">
        <f t="shared" si="2"/>
        <v>11806</v>
      </c>
      <c r="AD25" s="50">
        <f t="shared" si="2"/>
        <v>12880</v>
      </c>
      <c r="AE25" s="50">
        <f t="shared" si="2"/>
        <v>13949</v>
      </c>
      <c r="AF25" s="50">
        <f t="shared" si="2"/>
        <v>15042</v>
      </c>
      <c r="AG25" s="50">
        <f t="shared" si="2"/>
        <v>16306</v>
      </c>
      <c r="AH25" s="50">
        <f t="shared" si="2"/>
        <v>17565</v>
      </c>
      <c r="AI25" s="50">
        <f t="shared" si="2"/>
        <v>18847</v>
      </c>
      <c r="AJ25" s="50">
        <f t="shared" si="2"/>
        <v>20249</v>
      </c>
      <c r="AK25" s="50">
        <f t="shared" si="2"/>
        <v>21673</v>
      </c>
      <c r="AL25" s="13">
        <f t="shared" si="2"/>
        <v>23091</v>
      </c>
    </row>
    <row r="26" spans="1:49" ht="14.25" customHeight="1" x14ac:dyDescent="0.45">
      <c r="A26" s="49" t="s">
        <v>137</v>
      </c>
      <c r="B26" s="26">
        <f>ROUND(B25*'Model Inputs'!$E$41,0)</f>
        <v>0</v>
      </c>
      <c r="C26" s="26">
        <f>ROUND(C25*'Model Inputs'!$E$41,0)</f>
        <v>0</v>
      </c>
      <c r="D26" s="26">
        <f>ROUND(D25*'Model Inputs'!$E$41,0)</f>
        <v>0</v>
      </c>
      <c r="E26" s="26">
        <f>ROUND(E25*'Model Inputs'!$E$41,0)</f>
        <v>0</v>
      </c>
      <c r="F26" s="26">
        <f>ROUND(F25*'Model Inputs'!$E$41,0)</f>
        <v>1</v>
      </c>
      <c r="G26" s="26">
        <f>ROUND(G25*'Model Inputs'!$E$41,0)</f>
        <v>2</v>
      </c>
      <c r="H26" s="26">
        <f>ROUND(H25*'Model Inputs'!$E$41,0)</f>
        <v>2</v>
      </c>
      <c r="I26" s="26">
        <f>ROUND(I25*'Model Inputs'!$E$41,0)</f>
        <v>3</v>
      </c>
      <c r="J26" s="26">
        <f>ROUND(J25*'Model Inputs'!$E$41,0)</f>
        <v>5</v>
      </c>
      <c r="K26" s="26">
        <f>ROUND(K25*'Model Inputs'!$E$41,0)</f>
        <v>6</v>
      </c>
      <c r="L26" s="26">
        <f>ROUND(L25*'Model Inputs'!$E$41,0)</f>
        <v>7</v>
      </c>
      <c r="M26" s="26">
        <f>ROUND(M25*'Model Inputs'!$E$41,0)</f>
        <v>8</v>
      </c>
      <c r="N26" s="26">
        <f>ROUND(N25*'Model Inputs'!$E$41,0)</f>
        <v>9</v>
      </c>
      <c r="O26" s="26">
        <f>ROUND(O25*'Model Inputs'!$E$41,0)</f>
        <v>10</v>
      </c>
      <c r="P26" s="26">
        <f>ROUND(P25*'Model Inputs'!$E$41,0)</f>
        <v>12</v>
      </c>
      <c r="Q26" s="26">
        <f>ROUND(Q25*'Model Inputs'!$E$41,0)</f>
        <v>13</v>
      </c>
      <c r="R26" s="26">
        <f>ROUND(R25*'Model Inputs'!$E$41,0)</f>
        <v>15</v>
      </c>
      <c r="S26" s="26">
        <f>ROUND(S25*'Model Inputs'!$E$41,0)</f>
        <v>17</v>
      </c>
      <c r="T26" s="26">
        <f>ROUND(T25*'Model Inputs'!$E$41,0)</f>
        <v>19</v>
      </c>
      <c r="U26" s="26">
        <f>ROUND(U25*'Model Inputs'!$E$41,0)</f>
        <v>22</v>
      </c>
      <c r="V26" s="26">
        <f>ROUND(V25*'Model Inputs'!$E$41,0)</f>
        <v>24</v>
      </c>
      <c r="W26" s="26">
        <f>ROUND(W25*'Model Inputs'!$E$41,0)</f>
        <v>27</v>
      </c>
      <c r="X26" s="26">
        <f>ROUND(X25*'Model Inputs'!$E$41,0)</f>
        <v>29</v>
      </c>
      <c r="Y26" s="26">
        <f>ROUND(Y25*'Model Inputs'!$E$41,0)</f>
        <v>33</v>
      </c>
      <c r="Z26" s="26">
        <f>ROUND(Z25*'Model Inputs'!$E$41,0)</f>
        <v>36</v>
      </c>
      <c r="AA26" s="26">
        <f>ROUND(AA25*'Model Inputs'!$E$41,0)</f>
        <v>40</v>
      </c>
      <c r="AB26" s="26">
        <f>ROUND(AB25*'Model Inputs'!$E$41,0)</f>
        <v>44</v>
      </c>
      <c r="AC26" s="26">
        <f>ROUND(AC25*'Model Inputs'!$E$41,0)</f>
        <v>47</v>
      </c>
      <c r="AD26" s="26">
        <f>ROUND(AD25*'Model Inputs'!$E$41,0)</f>
        <v>52</v>
      </c>
      <c r="AE26" s="26">
        <f>ROUND(AE25*'Model Inputs'!$E$41,0)</f>
        <v>56</v>
      </c>
      <c r="AF26" s="26">
        <f>ROUND(AF25*'Model Inputs'!$E$41,0)</f>
        <v>60</v>
      </c>
      <c r="AG26" s="26">
        <f>ROUND(AG25*'Model Inputs'!$E$41,0)</f>
        <v>65</v>
      </c>
      <c r="AH26" s="26">
        <f>ROUND(AH25*'Model Inputs'!$E$41,0)</f>
        <v>70</v>
      </c>
      <c r="AI26" s="26">
        <f>ROUND(AI25*'Model Inputs'!$E$41,0)</f>
        <v>75</v>
      </c>
      <c r="AJ26" s="26">
        <f>ROUND(AJ25*'Model Inputs'!$E$41,0)</f>
        <v>81</v>
      </c>
      <c r="AK26" s="26">
        <f>ROUND(AK25*'Model Inputs'!$E$41,0)</f>
        <v>87</v>
      </c>
      <c r="AL26" s="3">
        <f>ROUND(AL25*'Model Inputs'!$E$41,0)</f>
        <v>92</v>
      </c>
      <c r="AM26">
        <f>ROUND(AM25*'Model Inputs'!$E$41,0)</f>
        <v>0</v>
      </c>
      <c r="AN26">
        <f>ROUND(AN25*'Model Inputs'!$E$41,0)</f>
        <v>0</v>
      </c>
    </row>
    <row r="27" spans="1:49" ht="14.25" customHeight="1" x14ac:dyDescent="0.45">
      <c r="A27" s="148" t="s">
        <v>138</v>
      </c>
      <c r="B27" s="149">
        <f t="shared" ref="B27:AL27" si="3">B16+B17+B20+B23</f>
        <v>0</v>
      </c>
      <c r="C27" s="149">
        <f t="shared" si="3"/>
        <v>0</v>
      </c>
      <c r="D27" s="149">
        <f t="shared" si="3"/>
        <v>0</v>
      </c>
      <c r="E27" s="149">
        <f t="shared" si="3"/>
        <v>242</v>
      </c>
      <c r="F27" s="149">
        <f t="shared" si="3"/>
        <v>145</v>
      </c>
      <c r="G27" s="149">
        <f t="shared" si="3"/>
        <v>218</v>
      </c>
      <c r="H27" s="149">
        <f t="shared" si="3"/>
        <v>266</v>
      </c>
      <c r="I27" s="149">
        <f t="shared" si="3"/>
        <v>266</v>
      </c>
      <c r="J27" s="149">
        <f t="shared" si="3"/>
        <v>286</v>
      </c>
      <c r="K27" s="149">
        <f t="shared" si="3"/>
        <v>286</v>
      </c>
      <c r="L27" s="149">
        <f t="shared" si="3"/>
        <v>286</v>
      </c>
      <c r="M27" s="149">
        <f t="shared" si="3"/>
        <v>286</v>
      </c>
      <c r="N27" s="149">
        <f t="shared" si="3"/>
        <v>328</v>
      </c>
      <c r="O27" s="149">
        <f t="shared" si="3"/>
        <v>353</v>
      </c>
      <c r="P27" s="149">
        <f t="shared" si="3"/>
        <v>403</v>
      </c>
      <c r="Q27" s="149">
        <f t="shared" si="3"/>
        <v>441</v>
      </c>
      <c r="R27" s="149">
        <f t="shared" si="3"/>
        <v>469</v>
      </c>
      <c r="S27" s="149">
        <f t="shared" si="3"/>
        <v>590</v>
      </c>
      <c r="T27" s="149">
        <f t="shared" si="3"/>
        <v>643</v>
      </c>
      <c r="U27" s="149">
        <f t="shared" si="3"/>
        <v>643</v>
      </c>
      <c r="V27" s="149">
        <f t="shared" si="3"/>
        <v>693</v>
      </c>
      <c r="W27" s="149">
        <f t="shared" si="3"/>
        <v>720</v>
      </c>
      <c r="X27" s="149">
        <f t="shared" si="3"/>
        <v>828</v>
      </c>
      <c r="Y27" s="149">
        <f t="shared" si="3"/>
        <v>894</v>
      </c>
      <c r="Z27" s="149">
        <f t="shared" si="3"/>
        <v>968</v>
      </c>
      <c r="AA27" s="149">
        <f t="shared" si="3"/>
        <v>968</v>
      </c>
      <c r="AB27" s="149">
        <f t="shared" si="3"/>
        <v>968</v>
      </c>
      <c r="AC27" s="149">
        <f t="shared" si="3"/>
        <v>1121</v>
      </c>
      <c r="AD27" s="149">
        <f t="shared" si="3"/>
        <v>1121</v>
      </c>
      <c r="AE27" s="149">
        <f t="shared" si="3"/>
        <v>1149</v>
      </c>
      <c r="AF27" s="149">
        <f t="shared" si="3"/>
        <v>1324</v>
      </c>
      <c r="AG27" s="149">
        <f t="shared" si="3"/>
        <v>1324</v>
      </c>
      <c r="AH27" s="149">
        <f t="shared" si="3"/>
        <v>1352</v>
      </c>
      <c r="AI27" s="149">
        <f t="shared" si="3"/>
        <v>1477</v>
      </c>
      <c r="AJ27" s="149">
        <f t="shared" si="3"/>
        <v>1505</v>
      </c>
      <c r="AK27" s="149">
        <f t="shared" si="3"/>
        <v>1505</v>
      </c>
      <c r="AL27" s="150">
        <f t="shared" si="3"/>
        <v>308</v>
      </c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</row>
    <row r="28" spans="1:49" ht="14.25" customHeight="1" x14ac:dyDescent="0.45">
      <c r="A28" s="28" t="s">
        <v>40</v>
      </c>
      <c r="B28" s="52">
        <f t="shared" ref="B28:AL28" si="4">B25-B26+B27</f>
        <v>0</v>
      </c>
      <c r="C28" s="52">
        <f t="shared" si="4"/>
        <v>0</v>
      </c>
      <c r="D28" s="52">
        <f t="shared" si="4"/>
        <v>0</v>
      </c>
      <c r="E28" s="52">
        <f t="shared" si="4"/>
        <v>242</v>
      </c>
      <c r="F28" s="52">
        <f t="shared" si="4"/>
        <v>386</v>
      </c>
      <c r="G28" s="52">
        <f t="shared" si="4"/>
        <v>602</v>
      </c>
      <c r="H28" s="52">
        <f t="shared" si="4"/>
        <v>866</v>
      </c>
      <c r="I28" s="52">
        <f t="shared" si="4"/>
        <v>1129</v>
      </c>
      <c r="J28" s="52">
        <f t="shared" si="4"/>
        <v>1410</v>
      </c>
      <c r="K28" s="52">
        <f t="shared" si="4"/>
        <v>1690</v>
      </c>
      <c r="L28" s="52">
        <f t="shared" si="4"/>
        <v>1969</v>
      </c>
      <c r="M28" s="52">
        <f t="shared" si="4"/>
        <v>2247</v>
      </c>
      <c r="N28" s="52">
        <f t="shared" si="4"/>
        <v>2566</v>
      </c>
      <c r="O28" s="52">
        <f t="shared" si="4"/>
        <v>2909</v>
      </c>
      <c r="P28" s="52">
        <f t="shared" si="4"/>
        <v>3300</v>
      </c>
      <c r="Q28" s="52">
        <f t="shared" si="4"/>
        <v>3728</v>
      </c>
      <c r="R28" s="52">
        <f t="shared" si="4"/>
        <v>4182</v>
      </c>
      <c r="S28" s="52">
        <f t="shared" si="4"/>
        <v>4755</v>
      </c>
      <c r="T28" s="52">
        <f t="shared" si="4"/>
        <v>5379</v>
      </c>
      <c r="U28" s="52">
        <f t="shared" si="4"/>
        <v>6000</v>
      </c>
      <c r="V28" s="52">
        <f t="shared" si="4"/>
        <v>6669</v>
      </c>
      <c r="W28" s="52">
        <f t="shared" si="4"/>
        <v>7362</v>
      </c>
      <c r="X28" s="52">
        <f t="shared" si="4"/>
        <v>8161</v>
      </c>
      <c r="Y28" s="52">
        <f t="shared" si="4"/>
        <v>9022</v>
      </c>
      <c r="Z28" s="52">
        <f t="shared" si="4"/>
        <v>9954</v>
      </c>
      <c r="AA28" s="52">
        <f t="shared" si="4"/>
        <v>10882</v>
      </c>
      <c r="AB28" s="52">
        <f t="shared" si="4"/>
        <v>11806</v>
      </c>
      <c r="AC28" s="52">
        <f t="shared" si="4"/>
        <v>12880</v>
      </c>
      <c r="AD28" s="52">
        <f t="shared" si="4"/>
        <v>13949</v>
      </c>
      <c r="AE28" s="52">
        <f t="shared" si="4"/>
        <v>15042</v>
      </c>
      <c r="AF28" s="52">
        <f t="shared" si="4"/>
        <v>16306</v>
      </c>
      <c r="AG28" s="52">
        <f t="shared" si="4"/>
        <v>17565</v>
      </c>
      <c r="AH28" s="52">
        <f t="shared" si="4"/>
        <v>18847</v>
      </c>
      <c r="AI28" s="52">
        <f t="shared" si="4"/>
        <v>20249</v>
      </c>
      <c r="AJ28" s="52">
        <f t="shared" si="4"/>
        <v>21673</v>
      </c>
      <c r="AK28" s="52">
        <f t="shared" si="4"/>
        <v>23091</v>
      </c>
      <c r="AL28" s="3">
        <f t="shared" si="4"/>
        <v>23307</v>
      </c>
    </row>
    <row r="29" spans="1:49" ht="14.25" customHeight="1" x14ac:dyDescent="0.45">
      <c r="A29" s="20" t="s">
        <v>41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"/>
    </row>
    <row r="30" spans="1:49" ht="14.25" customHeight="1" x14ac:dyDescent="0.45">
      <c r="A30" s="49" t="s">
        <v>139</v>
      </c>
      <c r="B30" s="57">
        <f>IF(B16+B20+B23&gt;0,(B6*'Model Inputs'!$B$7+B8*'Model Inputs'!$B$8+B10*'Model Inputs'!$B$8+B12*'Model Inputs'!$B$7+B14*'Model Inputs'!$B$8+B20*15+B23*'Model Inputs'!$B$7)/(B16+B20+B23),0)</f>
        <v>0</v>
      </c>
      <c r="C30" s="57">
        <f>IF(C16+C20+C23&gt;0,(C6*'Model Inputs'!$B$7+C8*'Model Inputs'!$B$8+C10*'Model Inputs'!$B$8+C12*'Model Inputs'!$B$7+C14*'Model Inputs'!$B$8+C20*15+C23*'Model Inputs'!$B$7)/(C16+C20+C23),0)</f>
        <v>0</v>
      </c>
      <c r="D30" s="57">
        <f>IF(D16+D20+D23&gt;0,(D6*'Model Inputs'!$B$7+D8*'Model Inputs'!$B$8+D10*'Model Inputs'!$B$8+D12*'Model Inputs'!$B$7+D14*'Model Inputs'!$B$8+D20*15+D23*'Model Inputs'!$B$7)/(D16+D20+D23),0)</f>
        <v>0</v>
      </c>
      <c r="E30" s="57">
        <f>IF(E16+E20+E23&gt;0,(E6*'Model Inputs'!$B$7+E8*'Model Inputs'!$B$8+E10*'Model Inputs'!$B$8+E12*'Model Inputs'!$B$7+E14*'Model Inputs'!$B$8+E20*15+E23*'Model Inputs'!$B$7)/(E16+E20+E23),0)</f>
        <v>29.545454545454547</v>
      </c>
      <c r="F30" s="57">
        <f>IF(F16+F20+F23&gt;0,(F6*'Model Inputs'!$B$7+F8*'Model Inputs'!$B$8+F10*'Model Inputs'!$B$8+F12*'Model Inputs'!$B$7+F14*'Model Inputs'!$B$8+F20*15+F23*'Model Inputs'!$B$7)/(F16+F20+F23),0)</f>
        <v>27.744827586206895</v>
      </c>
      <c r="G30" s="57">
        <f>IF(G16+G20+G23&gt;0,(G6*'Model Inputs'!$B$7+G8*'Model Inputs'!$B$8+G10*'Model Inputs'!$B$8+G12*'Model Inputs'!$B$7+G14*'Model Inputs'!$B$8+G20*15+G23*'Model Inputs'!$B$7)/(G16+G20+G23),0)</f>
        <v>29.73394495412844</v>
      </c>
      <c r="H30" s="57">
        <f>IF(H16+H20+H23&gt;0,(H6*'Model Inputs'!$B$7+H8*'Model Inputs'!$B$8+H10*'Model Inputs'!$B$8+H12*'Model Inputs'!$B$7+H14*'Model Inputs'!$B$8+H20*15+H23*'Model Inputs'!$B$7)/(H16+H20+H23),0)</f>
        <v>29.390977443609021</v>
      </c>
      <c r="I30" s="57">
        <f>IF(I16+I20+I23&gt;0,(I6*'Model Inputs'!$B$7+I8*'Model Inputs'!$B$8+I10*'Model Inputs'!$B$8+I12*'Model Inputs'!$B$7+I14*'Model Inputs'!$B$8+I20*15+I23*'Model Inputs'!$B$7)/(I16+I20+I23),0)</f>
        <v>29.390977443609021</v>
      </c>
      <c r="J30" s="57">
        <f>IF(J16+J20+J23&gt;0,(J6*'Model Inputs'!$B$7+J8*'Model Inputs'!$B$8+J10*'Model Inputs'!$B$8+J12*'Model Inputs'!$B$7+J14*'Model Inputs'!$B$8+J20*15+J23*'Model Inputs'!$B$7)/(J16+J20+J23),0)</f>
        <v>29.363636363636363</v>
      </c>
      <c r="K30" s="57">
        <f>IF(K16+K20+K23&gt;0,(K6*'Model Inputs'!$B$7+K8*'Model Inputs'!$B$8+K10*'Model Inputs'!$B$8+K12*'Model Inputs'!$B$7+K14*'Model Inputs'!$B$8+K20*15+K23*'Model Inputs'!$B$7)/(K16+K20+K23),0)</f>
        <v>29.363636363636363</v>
      </c>
      <c r="L30" s="57">
        <f>IF(L16+L20+L23&gt;0,(L6*'Model Inputs'!$B$7+L8*'Model Inputs'!$B$8+L10*'Model Inputs'!$B$8+L12*'Model Inputs'!$B$7+L14*'Model Inputs'!$B$8+L20*15+L23*'Model Inputs'!$B$7)/(L16+L20+L23),0)</f>
        <v>29.363636363636363</v>
      </c>
      <c r="M30" s="57">
        <f>IF(M16+M20+M23&gt;0,(M6*'Model Inputs'!$B$7+M8*'Model Inputs'!$B$8+M10*'Model Inputs'!$B$8+M12*'Model Inputs'!$B$7+M14*'Model Inputs'!$B$8+M20*15+M23*'Model Inputs'!$B$7)/(M16+M20+M23),0)</f>
        <v>29.363636363636363</v>
      </c>
      <c r="N30" s="57">
        <f>IF(N16+N20+N23&gt;0,(N6*'Model Inputs'!$B$7+N8*'Model Inputs'!$B$8+N10*'Model Inputs'!$B$8+N12*'Model Inputs'!$B$7+N14*'Model Inputs'!$B$8+N20*15+N23*'Model Inputs'!$B$7)/(N16+N20+N23),0)</f>
        <v>30.853658536585368</v>
      </c>
      <c r="O30" s="57">
        <f>IF(O16+O20+O23&gt;0,(O6*'Model Inputs'!$B$7+O8*'Model Inputs'!$B$8+O10*'Model Inputs'!$B$8+O12*'Model Inputs'!$B$7+O14*'Model Inputs'!$B$8+O20*15+O23*'Model Inputs'!$B$7)/(O16+O20+O23),0)</f>
        <v>30.722379603399432</v>
      </c>
      <c r="P30" s="57">
        <f>IF(P16+P20+P23&gt;0,(P6*'Model Inputs'!$B$7+P8*'Model Inputs'!$B$8+P10*'Model Inputs'!$B$8+P12*'Model Inputs'!$B$7+P14*'Model Inputs'!$B$8+P20*15+P23*'Model Inputs'!$B$7)/(P16+P20+P23),0)</f>
        <v>30.722379603399432</v>
      </c>
      <c r="Q30" s="57">
        <f>IF(Q16+Q20+Q23&gt;0,(Q6*'Model Inputs'!$B$7+Q8*'Model Inputs'!$B$8+Q10*'Model Inputs'!$B$8+Q12*'Model Inputs'!$B$7+Q14*'Model Inputs'!$B$8+Q20*15+Q23*'Model Inputs'!$B$7)/(Q16+Q20+Q23),0)</f>
        <v>30.447570332480819</v>
      </c>
      <c r="R30" s="57">
        <f>IF(R16+R20+R23&gt;0,(R6*'Model Inputs'!$B$7+R8*'Model Inputs'!$B$8+R10*'Model Inputs'!$B$8+R12*'Model Inputs'!$B$7+R14*'Model Inputs'!$B$8+R20*15+R23*'Model Inputs'!$B$7)/(R16+R20+R23),0)</f>
        <v>30.250596658711217</v>
      </c>
      <c r="S30" s="57">
        <f>IF(S16+S20+S23&gt;0,(S6*'Model Inputs'!$B$7+S8*'Model Inputs'!$B$8+S10*'Model Inputs'!$B$8+S12*'Model Inputs'!$B$7+S14*'Model Inputs'!$B$8+S20*15+S23*'Model Inputs'!$B$7)/(S16+S20+S23),0)</f>
        <v>30.204081632653061</v>
      </c>
      <c r="T30" s="57">
        <f>IF(T16+T20+T23&gt;0,(T6*'Model Inputs'!$B$7+T8*'Model Inputs'!$B$8+T10*'Model Inputs'!$B$8+T12*'Model Inputs'!$B$7+T14*'Model Inputs'!$B$8+T20*15+T23*'Model Inputs'!$B$7)/(T16+T20+T23),0)</f>
        <v>30.009208103130756</v>
      </c>
      <c r="U30" s="57">
        <f>IF(U16+U20+U23&gt;0,(U6*'Model Inputs'!$B$7+U8*'Model Inputs'!$B$8+U10*'Model Inputs'!$B$8+U12*'Model Inputs'!$B$7+U14*'Model Inputs'!$B$8+U20*15+U23*'Model Inputs'!$B$7)/(U16+U20+U23),0)</f>
        <v>30.009208103130756</v>
      </c>
      <c r="V30" s="57">
        <f>IF(V16+V20+V23&gt;0,(V6*'Model Inputs'!$B$7+V8*'Model Inputs'!$B$8+V10*'Model Inputs'!$B$8+V12*'Model Inputs'!$B$7+V14*'Model Inputs'!$B$8+V20*15+V23*'Model Inputs'!$B$7)/(V16+V20+V23),0)</f>
        <v>30.009208103130756</v>
      </c>
      <c r="W30" s="57">
        <f>IF(W16+W20+W23&gt;0,(W6*'Model Inputs'!$B$7+W8*'Model Inputs'!$B$8+W10*'Model Inputs'!$B$8+W12*'Model Inputs'!$B$7+W14*'Model Inputs'!$B$8+W20*15+W23*'Model Inputs'!$B$7)/(W16+W20+W23),0)</f>
        <v>29.912280701754387</v>
      </c>
      <c r="X30" s="57">
        <f>IF(X16+X20+X23&gt;0,(X6*'Model Inputs'!$B$7+X8*'Model Inputs'!$B$8+X10*'Model Inputs'!$B$8+X12*'Model Inputs'!$B$7+X14*'Model Inputs'!$B$8+X20*15+X23*'Model Inputs'!$B$7)/(X16+X20+X23),0)</f>
        <v>30.339233038348084</v>
      </c>
      <c r="Y30" s="57">
        <f>IF(Y16+Y20+Y23&gt;0,(Y6*'Model Inputs'!$B$7+Y8*'Model Inputs'!$B$8+Y10*'Model Inputs'!$B$8+Y12*'Model Inputs'!$B$7+Y14*'Model Inputs'!$B$8+Y20*15+Y23*'Model Inputs'!$B$7)/(Y16+Y20+Y23),0)</f>
        <v>30.577956989247312</v>
      </c>
      <c r="Z30" s="57">
        <f>IF(Z16+Z20+Z23&gt;0,(Z6*'Model Inputs'!$B$7+Z8*'Model Inputs'!$B$8+Z10*'Model Inputs'!$B$8+Z12*'Model Inputs'!$B$7+Z14*'Model Inputs'!$B$8+Z20*15+Z23*'Model Inputs'!$B$7)/(Z16+Z20+Z23),0)</f>
        <v>30.952550415183868</v>
      </c>
      <c r="AA30" s="57">
        <f>IF(AA16+AA20+AA23&gt;0,(AA6*'Model Inputs'!$B$7+AA8*'Model Inputs'!$B$8+AA10*'Model Inputs'!$B$8+AA12*'Model Inputs'!$B$7+AA14*'Model Inputs'!$B$8+AA20*15+AA23*'Model Inputs'!$B$7)/(AA16+AA20+AA23),0)</f>
        <v>30.952550415183868</v>
      </c>
      <c r="AB30" s="57">
        <f>IF(AB16+AB20+AB23&gt;0,(AB6*'Model Inputs'!$B$7+AB8*'Model Inputs'!$B$8+AB10*'Model Inputs'!$B$8+AB12*'Model Inputs'!$B$7+AB14*'Model Inputs'!$B$8+AB20*15+AB23*'Model Inputs'!$B$7)/(AB16+AB20+AB23),0)</f>
        <v>30.952550415183868</v>
      </c>
      <c r="AC30" s="57">
        <f>IF(AC16+AC20+AC23&gt;0,(AC6*'Model Inputs'!$B$7+AC8*'Model Inputs'!$B$8+AC10*'Model Inputs'!$B$8+AC12*'Model Inputs'!$B$7+AC14*'Model Inputs'!$B$8+AC20*15+AC23*'Model Inputs'!$B$7)/(AC16+AC20+AC23),0)</f>
        <v>30.889781859931112</v>
      </c>
      <c r="AD30" s="57">
        <f>IF(AD16+AD20+AD23&gt;0,(AD6*'Model Inputs'!$B$7+AD8*'Model Inputs'!$B$8+AD10*'Model Inputs'!$B$8+AD12*'Model Inputs'!$B$7+AD14*'Model Inputs'!$B$8+AD20*15+AD23*'Model Inputs'!$B$7)/(AD16+AD20+AD23),0)</f>
        <v>30.889781859931112</v>
      </c>
      <c r="AE30" s="57">
        <f>IF(AE16+AE20+AE23&gt;0,(AE6*'Model Inputs'!$B$7+AE8*'Model Inputs'!$B$8+AE10*'Model Inputs'!$B$8+AE12*'Model Inputs'!$B$7+AE14*'Model Inputs'!$B$8+AE20*15+AE23*'Model Inputs'!$B$7)/(AE16+AE20+AE23),0)</f>
        <v>30.830923248053391</v>
      </c>
      <c r="AF30" s="57">
        <f>IF(AF16+AF20+AF23&gt;0,(AF6*'Model Inputs'!$B$7+AF8*'Model Inputs'!$B$8+AF10*'Model Inputs'!$B$8+AF12*'Model Inputs'!$B$7+AF14*'Model Inputs'!$B$8+AF20*15+AF23*'Model Inputs'!$B$7)/(AF16+AF20+AF23),0)</f>
        <v>30.830923248053391</v>
      </c>
      <c r="AG30" s="57">
        <f>IF(AG16+AG20+AG23&gt;0,(AG6*'Model Inputs'!$B$7+AG8*'Model Inputs'!$B$8+AG10*'Model Inputs'!$B$8+AG12*'Model Inputs'!$B$7+AG14*'Model Inputs'!$B$8+AG20*15+AG23*'Model Inputs'!$B$7)/(AG16+AG20+AG23),0)</f>
        <v>30.830923248053391</v>
      </c>
      <c r="AH30" s="57">
        <f>IF(AH16+AH20+AH23&gt;0,(AH6*'Model Inputs'!$B$7+AH8*'Model Inputs'!$B$8+AH10*'Model Inputs'!$B$8+AH12*'Model Inputs'!$B$7+AH14*'Model Inputs'!$B$8+AH20*15+AH23*'Model Inputs'!$B$7)/(AH16+AH20+AH23),0)</f>
        <v>30.775620280474648</v>
      </c>
      <c r="AI30" s="57">
        <f>IF(AI16+AI20+AI23&gt;0,(AI6*'Model Inputs'!$B$7+AI8*'Model Inputs'!$B$8+AI10*'Model Inputs'!$B$8+AI12*'Model Inputs'!$B$7+AI14*'Model Inputs'!$B$8+AI20*15+AI23*'Model Inputs'!$B$7)/(AI16+AI20+AI23),0)</f>
        <v>30.775620280474648</v>
      </c>
      <c r="AJ30" s="57">
        <f>IF(AJ16+AJ20+AJ23&gt;0,(AJ6*'Model Inputs'!$B$7+AJ8*'Model Inputs'!$B$8+AJ10*'Model Inputs'!$B$8+AJ12*'Model Inputs'!$B$7+AJ14*'Model Inputs'!$B$8+AJ20*15+AJ23*'Model Inputs'!$B$7)/(AJ16+AJ20+AJ23),0)</f>
        <v>30.723560209424083</v>
      </c>
      <c r="AK30" s="57">
        <f>IF(AK16+AK20+AK23&gt;0,(AK6*'Model Inputs'!$B$7+AK8*'Model Inputs'!$B$8+AK10*'Model Inputs'!$B$8+AK12*'Model Inputs'!$B$7+AK14*'Model Inputs'!$B$8+AK20*15+AK23*'Model Inputs'!$B$7)/(AK16+AK20+AK23),0)</f>
        <v>30.723560209424083</v>
      </c>
      <c r="AL30" s="6">
        <f>IF(AL16+AL20+AL23&gt;0,(AL6*'Model Inputs'!$B$7+AL8*'Model Inputs'!$B$8+AL10*'Model Inputs'!$B$8+AL12*'Model Inputs'!$B$7+AL14*'Model Inputs'!$B$8+AL20*15+AL23*'Model Inputs'!$B$7)/(AL16+AL20+AL23),0)</f>
        <v>29</v>
      </c>
    </row>
    <row r="31" spans="1:49" ht="14.25" customHeight="1" x14ac:dyDescent="0.45">
      <c r="A31" s="28" t="s">
        <v>42</v>
      </c>
      <c r="B31" s="58">
        <f t="shared" ref="B31:Y31" si="5">B28*B30</f>
        <v>0</v>
      </c>
      <c r="C31" s="58">
        <f t="shared" si="5"/>
        <v>0</v>
      </c>
      <c r="D31" s="58">
        <f t="shared" si="5"/>
        <v>0</v>
      </c>
      <c r="E31" s="58">
        <f t="shared" si="5"/>
        <v>7150</v>
      </c>
      <c r="F31" s="58">
        <f t="shared" si="5"/>
        <v>10709.503448275862</v>
      </c>
      <c r="G31" s="58">
        <f t="shared" si="5"/>
        <v>17899.83486238532</v>
      </c>
      <c r="H31" s="58">
        <f t="shared" si="5"/>
        <v>25452.586466165412</v>
      </c>
      <c r="I31" s="58">
        <f t="shared" si="5"/>
        <v>33182.413533834588</v>
      </c>
      <c r="J31" s="58">
        <f t="shared" si="5"/>
        <v>41402.727272727272</v>
      </c>
      <c r="K31" s="58">
        <f t="shared" si="5"/>
        <v>49624.545454545456</v>
      </c>
      <c r="L31" s="58">
        <f t="shared" si="5"/>
        <v>57817</v>
      </c>
      <c r="M31" s="58">
        <f t="shared" si="5"/>
        <v>65980.090909090912</v>
      </c>
      <c r="N31" s="58">
        <f t="shared" si="5"/>
        <v>79170.487804878052</v>
      </c>
      <c r="O31" s="58">
        <f t="shared" si="5"/>
        <v>89371.402266288947</v>
      </c>
      <c r="P31" s="58">
        <f t="shared" si="5"/>
        <v>101383.85269121813</v>
      </c>
      <c r="Q31" s="58">
        <f t="shared" si="5"/>
        <v>113508.5421994885</v>
      </c>
      <c r="R31" s="58">
        <f t="shared" si="5"/>
        <v>126507.99522673032</v>
      </c>
      <c r="S31" s="58">
        <f t="shared" si="5"/>
        <v>143620.4081632653</v>
      </c>
      <c r="T31" s="58">
        <f t="shared" si="5"/>
        <v>161419.53038674034</v>
      </c>
      <c r="U31" s="58">
        <f t="shared" si="5"/>
        <v>180055.24861878454</v>
      </c>
      <c r="V31" s="58">
        <f t="shared" si="5"/>
        <v>200131.408839779</v>
      </c>
      <c r="W31" s="58">
        <f t="shared" si="5"/>
        <v>220214.21052631579</v>
      </c>
      <c r="X31" s="58">
        <f t="shared" si="5"/>
        <v>247598.48082595872</v>
      </c>
      <c r="Y31" s="58">
        <f t="shared" si="5"/>
        <v>275874.32795698923</v>
      </c>
      <c r="Z31" s="58">
        <f>(Z28-Z17)*Z30+'Model Inputs'!B$146</f>
        <v>309107.61803084222</v>
      </c>
      <c r="AA31" s="58">
        <f>(AA28-AA17)*AA30+'Model Inputs'!C$146</f>
        <v>337831.58481613285</v>
      </c>
      <c r="AB31" s="58">
        <f>(AB28-AB17)*AB30+'Model Inputs'!D$146</f>
        <v>366431.74139976274</v>
      </c>
      <c r="AC31" s="58">
        <f>(AC28-AC17)*AC30+'Model Inputs'!E$146</f>
        <v>399887.94489092997</v>
      </c>
      <c r="AD31" s="58">
        <f>(AD28-AD17)*AD30+'Model Inputs'!F$146</f>
        <v>432909.12169919629</v>
      </c>
      <c r="AE31" s="58">
        <f>(AE28-AE17)*AE30+'Model Inputs'!G$146</f>
        <v>465801.01668520574</v>
      </c>
      <c r="AF31" s="58">
        <f>(AF28-AF17)*AF30+'Model Inputs'!H$146</f>
        <v>507450.89210233593</v>
      </c>
      <c r="AG31" s="58">
        <f>(AG28-AG17)*AG30+'Model Inputs'!I$146</f>
        <v>546267.02447163512</v>
      </c>
      <c r="AH31" s="58">
        <f>(AH28-AH17)*AH30+'Model Inputs'!J$146</f>
        <v>584773.47680690396</v>
      </c>
      <c r="AI31" s="58">
        <f>(AI28-AI17)*AI30+'Model Inputs'!K$146</f>
        <v>630198.94390507007</v>
      </c>
      <c r="AJ31" s="58">
        <f>(AJ28-AJ17)*AJ30+'Model Inputs'!L$146</f>
        <v>672923.76230366493</v>
      </c>
      <c r="AK31" s="58">
        <f>(AK28-AK17)*AK30+'Model Inputs'!M$146</f>
        <v>716489.77068062825</v>
      </c>
      <c r="AL31" s="14">
        <f>(AL28-AL17)*AL30+'Model Inputs'!N$146</f>
        <v>675903</v>
      </c>
    </row>
    <row r="32" spans="1:49" ht="14.25" customHeight="1" x14ac:dyDescent="0.45">
      <c r="A32" s="28" t="s">
        <v>140</v>
      </c>
      <c r="B32" s="29">
        <f t="shared" ref="B32:AL32" si="6">B31*12</f>
        <v>0</v>
      </c>
      <c r="C32" s="29">
        <f t="shared" si="6"/>
        <v>0</v>
      </c>
      <c r="D32" s="29">
        <f t="shared" si="6"/>
        <v>0</v>
      </c>
      <c r="E32" s="29">
        <f t="shared" si="6"/>
        <v>85800</v>
      </c>
      <c r="F32" s="29">
        <f t="shared" si="6"/>
        <v>128514.04137931034</v>
      </c>
      <c r="G32" s="29">
        <f t="shared" si="6"/>
        <v>214798.01834862382</v>
      </c>
      <c r="H32" s="29">
        <f t="shared" si="6"/>
        <v>305431.03759398498</v>
      </c>
      <c r="I32" s="29">
        <f t="shared" si="6"/>
        <v>398188.96240601502</v>
      </c>
      <c r="J32" s="29">
        <f t="shared" si="6"/>
        <v>496832.72727272729</v>
      </c>
      <c r="K32" s="29">
        <f t="shared" si="6"/>
        <v>595494.54545454541</v>
      </c>
      <c r="L32" s="29">
        <f t="shared" si="6"/>
        <v>693804</v>
      </c>
      <c r="M32" s="29">
        <f t="shared" si="6"/>
        <v>791761.09090909094</v>
      </c>
      <c r="N32" s="29">
        <f t="shared" si="6"/>
        <v>950045.85365853668</v>
      </c>
      <c r="O32" s="29">
        <f t="shared" si="6"/>
        <v>1072456.8271954674</v>
      </c>
      <c r="P32" s="29">
        <f t="shared" si="6"/>
        <v>1216606.2322946175</v>
      </c>
      <c r="Q32" s="29">
        <f t="shared" si="6"/>
        <v>1362102.506393862</v>
      </c>
      <c r="R32" s="29">
        <f t="shared" si="6"/>
        <v>1518095.9427207639</v>
      </c>
      <c r="S32" s="29">
        <f t="shared" si="6"/>
        <v>1723444.8979591834</v>
      </c>
      <c r="T32" s="29">
        <f t="shared" si="6"/>
        <v>1937034.3646408841</v>
      </c>
      <c r="U32" s="29">
        <f t="shared" si="6"/>
        <v>2160662.9834254142</v>
      </c>
      <c r="V32" s="29">
        <f t="shared" si="6"/>
        <v>2401576.9060773482</v>
      </c>
      <c r="W32" s="29">
        <f t="shared" si="6"/>
        <v>2642570.5263157897</v>
      </c>
      <c r="X32" s="29">
        <f t="shared" si="6"/>
        <v>2971181.7699115044</v>
      </c>
      <c r="Y32" s="29">
        <f t="shared" si="6"/>
        <v>3310491.935483871</v>
      </c>
      <c r="Z32" s="29">
        <f t="shared" si="6"/>
        <v>3709291.4163701069</v>
      </c>
      <c r="AA32" s="29">
        <f t="shared" si="6"/>
        <v>4053979.0177935939</v>
      </c>
      <c r="AB32" s="29">
        <f t="shared" si="6"/>
        <v>4397180.8967971532</v>
      </c>
      <c r="AC32" s="29">
        <f t="shared" si="6"/>
        <v>4798655.3386911601</v>
      </c>
      <c r="AD32" s="29">
        <f t="shared" si="6"/>
        <v>5194909.4603903554</v>
      </c>
      <c r="AE32" s="29">
        <f t="shared" si="6"/>
        <v>5589612.2002224689</v>
      </c>
      <c r="AF32" s="29">
        <f t="shared" si="6"/>
        <v>6089410.7052280307</v>
      </c>
      <c r="AG32" s="29">
        <f t="shared" si="6"/>
        <v>6555204.2936596218</v>
      </c>
      <c r="AH32" s="29">
        <f t="shared" si="6"/>
        <v>7017281.7216828475</v>
      </c>
      <c r="AI32" s="29">
        <f t="shared" si="6"/>
        <v>7562387.3268608414</v>
      </c>
      <c r="AJ32" s="29">
        <f t="shared" si="6"/>
        <v>8075085.1476439796</v>
      </c>
      <c r="AK32" s="29">
        <f t="shared" si="6"/>
        <v>8597877.248167539</v>
      </c>
      <c r="AL32" s="7">
        <f t="shared" si="6"/>
        <v>8110836</v>
      </c>
    </row>
    <row r="33" spans="1:40" ht="14.25" customHeight="1" x14ac:dyDescent="0.45">
      <c r="A33" s="20" t="s">
        <v>141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6"/>
    </row>
    <row r="34" spans="1:40" ht="14.25" customHeight="1" x14ac:dyDescent="0.45">
      <c r="A34" s="28" t="s">
        <v>142</v>
      </c>
      <c r="B34" s="52">
        <f t="shared" ref="B34:AL34" si="7">B15+B19+B22</f>
        <v>0</v>
      </c>
      <c r="C34" s="52">
        <f t="shared" si="7"/>
        <v>0</v>
      </c>
      <c r="D34" s="52">
        <f t="shared" si="7"/>
        <v>0</v>
      </c>
      <c r="E34" s="52">
        <f t="shared" si="7"/>
        <v>31</v>
      </c>
      <c r="F34" s="52">
        <f t="shared" si="7"/>
        <v>18</v>
      </c>
      <c r="G34" s="52">
        <f t="shared" si="7"/>
        <v>25</v>
      </c>
      <c r="H34" s="52">
        <f t="shared" si="7"/>
        <v>29</v>
      </c>
      <c r="I34" s="52">
        <f t="shared" si="7"/>
        <v>28</v>
      </c>
      <c r="J34" s="52">
        <f t="shared" si="7"/>
        <v>28</v>
      </c>
      <c r="K34" s="52">
        <f t="shared" si="7"/>
        <v>27</v>
      </c>
      <c r="L34" s="52">
        <f t="shared" si="7"/>
        <v>26</v>
      </c>
      <c r="M34" s="52">
        <f t="shared" si="7"/>
        <v>26</v>
      </c>
      <c r="N34" s="52">
        <f t="shared" si="7"/>
        <v>27</v>
      </c>
      <c r="O34" s="52">
        <f t="shared" si="7"/>
        <v>28</v>
      </c>
      <c r="P34" s="52">
        <f t="shared" si="7"/>
        <v>28</v>
      </c>
      <c r="Q34" s="52">
        <f t="shared" si="7"/>
        <v>31</v>
      </c>
      <c r="R34" s="52">
        <f t="shared" si="7"/>
        <v>33</v>
      </c>
      <c r="S34" s="52">
        <f t="shared" si="7"/>
        <v>39</v>
      </c>
      <c r="T34" s="52">
        <f t="shared" si="7"/>
        <v>42</v>
      </c>
      <c r="U34" s="52">
        <f t="shared" si="7"/>
        <v>41</v>
      </c>
      <c r="V34" s="52">
        <f t="shared" si="7"/>
        <v>41</v>
      </c>
      <c r="W34" s="52">
        <f t="shared" si="7"/>
        <v>42</v>
      </c>
      <c r="X34" s="52">
        <f t="shared" si="7"/>
        <v>48</v>
      </c>
      <c r="Y34" s="52">
        <f t="shared" si="7"/>
        <v>52</v>
      </c>
      <c r="Z34" s="52">
        <f t="shared" si="7"/>
        <v>51</v>
      </c>
      <c r="AA34" s="52">
        <f t="shared" si="7"/>
        <v>50</v>
      </c>
      <c r="AB34" s="52">
        <f t="shared" si="7"/>
        <v>49</v>
      </c>
      <c r="AC34" s="52">
        <f t="shared" si="7"/>
        <v>52</v>
      </c>
      <c r="AD34" s="52">
        <f t="shared" si="7"/>
        <v>51</v>
      </c>
      <c r="AE34" s="52">
        <f t="shared" si="7"/>
        <v>52</v>
      </c>
      <c r="AF34" s="52">
        <f t="shared" si="7"/>
        <v>53</v>
      </c>
      <c r="AG34" s="52">
        <f t="shared" si="7"/>
        <v>53</v>
      </c>
      <c r="AH34" s="52">
        <f t="shared" si="7"/>
        <v>53</v>
      </c>
      <c r="AI34" s="52">
        <f t="shared" si="7"/>
        <v>54</v>
      </c>
      <c r="AJ34" s="52">
        <f t="shared" si="7"/>
        <v>55</v>
      </c>
      <c r="AK34" s="52">
        <f t="shared" si="7"/>
        <v>54</v>
      </c>
      <c r="AL34" s="3">
        <f t="shared" si="7"/>
        <v>11</v>
      </c>
    </row>
    <row r="35" spans="1:40" ht="14.25" customHeight="1" x14ac:dyDescent="0.45">
      <c r="A35" s="28" t="s">
        <v>143</v>
      </c>
      <c r="B35" s="52">
        <f>B34</f>
        <v>0</v>
      </c>
      <c r="C35" s="52">
        <f t="shared" ref="C35:AL35" si="8">B35+C34</f>
        <v>0</v>
      </c>
      <c r="D35" s="52">
        <f t="shared" si="8"/>
        <v>0</v>
      </c>
      <c r="E35" s="52">
        <f t="shared" si="8"/>
        <v>31</v>
      </c>
      <c r="F35" s="52">
        <f t="shared" si="8"/>
        <v>49</v>
      </c>
      <c r="G35" s="52">
        <f t="shared" si="8"/>
        <v>74</v>
      </c>
      <c r="H35" s="52">
        <f t="shared" si="8"/>
        <v>103</v>
      </c>
      <c r="I35" s="52">
        <f t="shared" si="8"/>
        <v>131</v>
      </c>
      <c r="J35" s="52">
        <f t="shared" si="8"/>
        <v>159</v>
      </c>
      <c r="K35" s="52">
        <f t="shared" si="8"/>
        <v>186</v>
      </c>
      <c r="L35" s="52">
        <f t="shared" si="8"/>
        <v>212</v>
      </c>
      <c r="M35" s="52">
        <f t="shared" si="8"/>
        <v>238</v>
      </c>
      <c r="N35" s="52">
        <f t="shared" si="8"/>
        <v>265</v>
      </c>
      <c r="O35" s="52">
        <f t="shared" si="8"/>
        <v>293</v>
      </c>
      <c r="P35" s="52">
        <f t="shared" si="8"/>
        <v>321</v>
      </c>
      <c r="Q35" s="52">
        <f t="shared" si="8"/>
        <v>352</v>
      </c>
      <c r="R35" s="52">
        <f t="shared" si="8"/>
        <v>385</v>
      </c>
      <c r="S35" s="52">
        <f t="shared" si="8"/>
        <v>424</v>
      </c>
      <c r="T35" s="52">
        <f t="shared" si="8"/>
        <v>466</v>
      </c>
      <c r="U35" s="52">
        <f t="shared" si="8"/>
        <v>507</v>
      </c>
      <c r="V35" s="52">
        <f t="shared" si="8"/>
        <v>548</v>
      </c>
      <c r="W35" s="52">
        <f t="shared" si="8"/>
        <v>590</v>
      </c>
      <c r="X35" s="52">
        <f t="shared" si="8"/>
        <v>638</v>
      </c>
      <c r="Y35" s="52">
        <f t="shared" si="8"/>
        <v>690</v>
      </c>
      <c r="Z35" s="52">
        <f t="shared" si="8"/>
        <v>741</v>
      </c>
      <c r="AA35" s="52">
        <f t="shared" si="8"/>
        <v>791</v>
      </c>
      <c r="AB35" s="52">
        <f t="shared" si="8"/>
        <v>840</v>
      </c>
      <c r="AC35" s="52">
        <f t="shared" si="8"/>
        <v>892</v>
      </c>
      <c r="AD35" s="52">
        <f t="shared" si="8"/>
        <v>943</v>
      </c>
      <c r="AE35" s="52">
        <f t="shared" si="8"/>
        <v>995</v>
      </c>
      <c r="AF35" s="52">
        <f t="shared" si="8"/>
        <v>1048</v>
      </c>
      <c r="AG35" s="52">
        <f t="shared" si="8"/>
        <v>1101</v>
      </c>
      <c r="AH35" s="52">
        <f t="shared" si="8"/>
        <v>1154</v>
      </c>
      <c r="AI35" s="52">
        <f t="shared" si="8"/>
        <v>1208</v>
      </c>
      <c r="AJ35" s="52">
        <f t="shared" si="8"/>
        <v>1263</v>
      </c>
      <c r="AK35" s="52">
        <f t="shared" si="8"/>
        <v>1317</v>
      </c>
      <c r="AL35" s="15">
        <f t="shared" si="8"/>
        <v>1328</v>
      </c>
    </row>
    <row r="36" spans="1:40" ht="14.25" customHeight="1" x14ac:dyDescent="0.45">
      <c r="A36" s="37" t="s">
        <v>144</v>
      </c>
      <c r="B36" s="37">
        <f t="shared" ref="B36:AL36" si="9">IF(B35&gt;0,B28/B35,0)</f>
        <v>0</v>
      </c>
      <c r="C36" s="37">
        <f t="shared" si="9"/>
        <v>0</v>
      </c>
      <c r="D36" s="37">
        <f t="shared" si="9"/>
        <v>0</v>
      </c>
      <c r="E36" s="37">
        <f t="shared" si="9"/>
        <v>7.806451612903226</v>
      </c>
      <c r="F36" s="37">
        <f t="shared" si="9"/>
        <v>7.8775510204081636</v>
      </c>
      <c r="G36" s="37">
        <f t="shared" si="9"/>
        <v>8.1351351351351351</v>
      </c>
      <c r="H36" s="37">
        <f t="shared" si="9"/>
        <v>8.4077669902912628</v>
      </c>
      <c r="I36" s="37">
        <f t="shared" si="9"/>
        <v>8.6183206106870234</v>
      </c>
      <c r="J36" s="37">
        <f t="shared" si="9"/>
        <v>8.8679245283018862</v>
      </c>
      <c r="K36" s="37">
        <f t="shared" si="9"/>
        <v>9.086021505376344</v>
      </c>
      <c r="L36" s="37">
        <f t="shared" si="9"/>
        <v>9.2877358490566042</v>
      </c>
      <c r="M36" s="37">
        <f t="shared" si="9"/>
        <v>9.4411764705882355</v>
      </c>
      <c r="N36" s="37">
        <f t="shared" si="9"/>
        <v>9.6830188679245275</v>
      </c>
      <c r="O36" s="37">
        <f t="shared" si="9"/>
        <v>9.9283276450511941</v>
      </c>
      <c r="P36" s="37">
        <f t="shared" si="9"/>
        <v>10.280373831775702</v>
      </c>
      <c r="Q36" s="37">
        <f t="shared" si="9"/>
        <v>10.590909090909092</v>
      </c>
      <c r="R36" s="37">
        <f t="shared" si="9"/>
        <v>10.862337662337662</v>
      </c>
      <c r="S36" s="37">
        <f t="shared" si="9"/>
        <v>11.214622641509434</v>
      </c>
      <c r="T36" s="37">
        <f t="shared" si="9"/>
        <v>11.542918454935622</v>
      </c>
      <c r="U36" s="37">
        <f t="shared" si="9"/>
        <v>11.834319526627219</v>
      </c>
      <c r="V36" s="37">
        <f t="shared" si="9"/>
        <v>12.16970802919708</v>
      </c>
      <c r="W36" s="37">
        <f t="shared" si="9"/>
        <v>12.477966101694916</v>
      </c>
      <c r="X36" s="37">
        <f t="shared" si="9"/>
        <v>12.79153605015674</v>
      </c>
      <c r="Y36" s="37">
        <f t="shared" si="9"/>
        <v>13.075362318840579</v>
      </c>
      <c r="Z36" s="37">
        <f t="shared" si="9"/>
        <v>13.433198380566802</v>
      </c>
      <c r="AA36" s="37">
        <f t="shared" si="9"/>
        <v>13.757269279393173</v>
      </c>
      <c r="AB36" s="37">
        <f t="shared" si="9"/>
        <v>14.054761904761905</v>
      </c>
      <c r="AC36" s="37">
        <f t="shared" si="9"/>
        <v>14.439461883408072</v>
      </c>
      <c r="AD36" s="37">
        <f t="shared" si="9"/>
        <v>14.792152704135736</v>
      </c>
      <c r="AE36" s="37">
        <f t="shared" si="9"/>
        <v>15.117587939698492</v>
      </c>
      <c r="AF36" s="37">
        <f t="shared" si="9"/>
        <v>15.559160305343511</v>
      </c>
      <c r="AG36" s="37">
        <f t="shared" si="9"/>
        <v>15.953678474114442</v>
      </c>
      <c r="AH36" s="37">
        <f t="shared" si="9"/>
        <v>16.331889081455806</v>
      </c>
      <c r="AI36" s="37">
        <f t="shared" si="9"/>
        <v>16.762417218543046</v>
      </c>
      <c r="AJ36" s="37">
        <f t="shared" si="9"/>
        <v>17.159936658749011</v>
      </c>
      <c r="AK36" s="37">
        <f t="shared" si="9"/>
        <v>17.533029612756263</v>
      </c>
      <c r="AL36">
        <f t="shared" si="9"/>
        <v>17.550451807228917</v>
      </c>
    </row>
    <row r="37" spans="1:40" ht="14.25" customHeight="1" x14ac:dyDescent="0.45">
      <c r="A37" s="39" t="s">
        <v>145</v>
      </c>
      <c r="B37" s="39"/>
      <c r="C37" s="39"/>
      <c r="D37" s="39"/>
      <c r="E37" s="39">
        <f>E6*'Model Inputs'!$B$7+E8*'Model Inputs'!$B$8+E10*'Model Inputs'!$B$8+E12*'Model Inputs'!$B$7+E14*'Model Inputs'!$B$8</f>
        <v>6820</v>
      </c>
      <c r="F37" s="39">
        <f>F6*'Model Inputs'!$B$7+F8*'Model Inputs'!$B$8+F10*'Model Inputs'!$B$8+F12*'Model Inputs'!$B$7+F14*'Model Inputs'!$B$8</f>
        <v>3828</v>
      </c>
      <c r="G37" s="39">
        <f>G6*'Model Inputs'!$B$7+G8*'Model Inputs'!$B$8+G10*'Model Inputs'!$B$8+G12*'Model Inputs'!$B$7+G14*'Model Inputs'!$B$8</f>
        <v>6182</v>
      </c>
      <c r="H37" s="39">
        <f>H6*'Model Inputs'!$B$7+H8*'Model Inputs'!$B$8+H10*'Model Inputs'!$B$8+H12*'Model Inputs'!$B$7+H14*'Model Inputs'!$B$8</f>
        <v>7458</v>
      </c>
      <c r="I37" s="39">
        <f>I6*'Model Inputs'!$B$7+I8*'Model Inputs'!$B$8+I10*'Model Inputs'!$B$8+I12*'Model Inputs'!$B$7+I14*'Model Inputs'!$B$8</f>
        <v>7458</v>
      </c>
      <c r="J37" s="39">
        <f>J6*'Model Inputs'!$B$7+J8*'Model Inputs'!$B$8+J10*'Model Inputs'!$B$8+J12*'Model Inputs'!$B$7+J14*'Model Inputs'!$B$8</f>
        <v>7458</v>
      </c>
      <c r="K37" s="39">
        <f>K6*'Model Inputs'!$B$7+K8*'Model Inputs'!$B$8+K10*'Model Inputs'!$B$8+K12*'Model Inputs'!$B$7+K14*'Model Inputs'!$B$8</f>
        <v>7458</v>
      </c>
      <c r="L37" s="39">
        <f>L6*'Model Inputs'!$B$7+L8*'Model Inputs'!$B$8+L10*'Model Inputs'!$B$8+L12*'Model Inputs'!$B$7+L14*'Model Inputs'!$B$8</f>
        <v>7458</v>
      </c>
      <c r="M37" s="39">
        <f>M6*'Model Inputs'!$B$7+M8*'Model Inputs'!$B$8+M10*'Model Inputs'!$B$8+M12*'Model Inputs'!$B$7+M14*'Model Inputs'!$B$8</f>
        <v>7458</v>
      </c>
      <c r="N37" s="39">
        <f>N6*'Model Inputs'!$B$7+N8*'Model Inputs'!$B$8+N10*'Model Inputs'!$B$8+N12*'Model Inputs'!$B$7+N14*'Model Inputs'!$B$8</f>
        <v>8975</v>
      </c>
      <c r="O37" s="39">
        <f>O6*'Model Inputs'!$B$7+O8*'Model Inputs'!$B$8+O10*'Model Inputs'!$B$8+O12*'Model Inputs'!$B$7+O14*'Model Inputs'!$B$8</f>
        <v>8975</v>
      </c>
      <c r="P37" s="39">
        <f>P6*'Model Inputs'!$B$7+P8*'Model Inputs'!$B$8+P10*'Model Inputs'!$B$8+P12*'Model Inputs'!$B$7+P14*'Model Inputs'!$B$8</f>
        <v>8975</v>
      </c>
      <c r="Q37" s="39">
        <f>Q6*'Model Inputs'!$B$7+Q8*'Model Inputs'!$B$8+Q10*'Model Inputs'!$B$8+Q12*'Model Inputs'!$B$7+Q14*'Model Inputs'!$B$8</f>
        <v>9990</v>
      </c>
      <c r="R37" s="39">
        <f>R6*'Model Inputs'!$B$7+R8*'Model Inputs'!$B$8+R10*'Model Inputs'!$B$8+R12*'Model Inputs'!$B$7+R14*'Model Inputs'!$B$8</f>
        <v>10715</v>
      </c>
      <c r="S37" s="39">
        <f>S6*'Model Inputs'!$B$7+S8*'Model Inputs'!$B$8+S10*'Model Inputs'!$B$8+S12*'Model Inputs'!$B$7+S14*'Model Inputs'!$B$8</f>
        <v>12750</v>
      </c>
      <c r="T37" s="39">
        <f>T6*'Model Inputs'!$B$7+T8*'Model Inputs'!$B$8+T10*'Model Inputs'!$B$8+T12*'Model Inputs'!$B$7+T14*'Model Inputs'!$B$8</f>
        <v>13475</v>
      </c>
      <c r="U37" s="39">
        <f>U6*'Model Inputs'!$B$7+U8*'Model Inputs'!$B$8+U10*'Model Inputs'!$B$8+U12*'Model Inputs'!$B$7+U14*'Model Inputs'!$B$8</f>
        <v>13475</v>
      </c>
      <c r="V37" s="39">
        <f>V6*'Model Inputs'!$B$7+V8*'Model Inputs'!$B$8+V10*'Model Inputs'!$B$8+V12*'Model Inputs'!$B$7+V14*'Model Inputs'!$B$8</f>
        <v>13475</v>
      </c>
      <c r="W37" s="39">
        <f>W6*'Model Inputs'!$B$7+W8*'Model Inputs'!$B$8+W10*'Model Inputs'!$B$8+W12*'Model Inputs'!$B$7+W14*'Model Inputs'!$B$8</f>
        <v>14200</v>
      </c>
      <c r="X37" s="39">
        <f>X6*'Model Inputs'!$B$7+X8*'Model Inputs'!$B$8+X10*'Model Inputs'!$B$8+X12*'Model Inputs'!$B$7+X14*'Model Inputs'!$B$8</f>
        <v>16875</v>
      </c>
      <c r="Y37" s="39">
        <f>Y6*'Model Inputs'!$B$7+Y8*'Model Inputs'!$B$8+Y10*'Model Inputs'!$B$8+Y12*'Model Inputs'!$B$7+Y14*'Model Inputs'!$B$8</f>
        <v>18965</v>
      </c>
      <c r="Z37" s="39">
        <f>Z6*'Model Inputs'!$B$7+Z8*'Model Inputs'!$B$8+Z10*'Model Inputs'!$B$8+Z12*'Model Inputs'!$B$7+Z14*'Model Inputs'!$B$8</f>
        <v>20306</v>
      </c>
      <c r="AA37" s="39">
        <f>AA6*'Model Inputs'!$B$7+AA8*'Model Inputs'!$B$8+AA10*'Model Inputs'!$B$8+AA12*'Model Inputs'!$B$7+AA14*'Model Inputs'!$B$8</f>
        <v>20306</v>
      </c>
      <c r="AB37" s="39">
        <f>AB6*'Model Inputs'!$B$7+AB8*'Model Inputs'!$B$8+AB10*'Model Inputs'!$B$8+AB12*'Model Inputs'!$B$7+AB14*'Model Inputs'!$B$8</f>
        <v>20306</v>
      </c>
      <c r="AC37" s="39">
        <f>AC6*'Model Inputs'!$B$7+AC8*'Model Inputs'!$B$8+AC10*'Model Inputs'!$B$8+AC12*'Model Inputs'!$B$7+AC14*'Model Inputs'!$B$8</f>
        <v>20306</v>
      </c>
      <c r="AD37" s="39">
        <f>AD6*'Model Inputs'!$B$7+AD8*'Model Inputs'!$B$8+AD10*'Model Inputs'!$B$8+AD12*'Model Inputs'!$B$7+AD14*'Model Inputs'!$B$8</f>
        <v>20306</v>
      </c>
      <c r="AE37" s="39">
        <f>AE6*'Model Inputs'!$B$7+AE8*'Model Inputs'!$B$8+AE10*'Model Inputs'!$B$8+AE12*'Model Inputs'!$B$7+AE14*'Model Inputs'!$B$8</f>
        <v>20306</v>
      </c>
      <c r="AF37" s="39">
        <f>AF6*'Model Inputs'!$B$7+AF8*'Model Inputs'!$B$8+AF10*'Model Inputs'!$B$8+AF12*'Model Inputs'!$B$7+AF14*'Model Inputs'!$B$8</f>
        <v>20306</v>
      </c>
      <c r="AG37" s="39">
        <f>AG6*'Model Inputs'!$B$7+AG8*'Model Inputs'!$B$8+AG10*'Model Inputs'!$B$8+AG12*'Model Inputs'!$B$7+AG14*'Model Inputs'!$B$8</f>
        <v>20306</v>
      </c>
      <c r="AH37" s="39">
        <f>AH6*'Model Inputs'!$B$7+AH8*'Model Inputs'!$B$8+AH10*'Model Inputs'!$B$8+AH12*'Model Inputs'!$B$7+AH14*'Model Inputs'!$B$8</f>
        <v>20306</v>
      </c>
      <c r="AI37" s="39">
        <f>AI6*'Model Inputs'!$B$7+AI8*'Model Inputs'!$B$8+AI10*'Model Inputs'!$B$8+AI12*'Model Inputs'!$B$7+AI14*'Model Inputs'!$B$8</f>
        <v>20306</v>
      </c>
      <c r="AJ37" s="39">
        <f>AJ6*'Model Inputs'!$B$7+AJ8*'Model Inputs'!$B$8+AJ10*'Model Inputs'!$B$8+AJ12*'Model Inputs'!$B$7+AJ14*'Model Inputs'!$B$8</f>
        <v>20306</v>
      </c>
      <c r="AK37" s="39">
        <f>AK6*'Model Inputs'!$B$7+AK8*'Model Inputs'!$B$8+AK10*'Model Inputs'!$B$8+AK12*'Model Inputs'!$B$7+AK14*'Model Inputs'!$B$8</f>
        <v>20306</v>
      </c>
      <c r="AL37">
        <f>AL6*'Model Inputs'!$B$7+AL8*'Model Inputs'!$B$8+AL10*'Model Inputs'!$B$8+AL12*'Model Inputs'!$B$7+AL14*'Model Inputs'!$B$8</f>
        <v>0</v>
      </c>
      <c r="AM37">
        <f>AM6*'Model Inputs'!$B$7+AM8*'Model Inputs'!$B$8+AM10*'Model Inputs'!$B$8+AM12*'Model Inputs'!$B$7+AM14*'Model Inputs'!$B$8</f>
        <v>0</v>
      </c>
      <c r="AN37">
        <f>AN6*'Model Inputs'!$B$7+AN8*'Model Inputs'!$B$8+AN10*'Model Inputs'!$B$8+AN12*'Model Inputs'!$B$7+AN14*'Model Inputs'!$B$8</f>
        <v>0</v>
      </c>
    </row>
    <row r="38" spans="1:40" ht="14.25" customHeight="1" x14ac:dyDescent="0.4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40" x14ac:dyDescent="0.4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40" x14ac:dyDescent="0.45">
      <c r="A40" s="154" t="s">
        <v>146</v>
      </c>
      <c r="B40" s="155"/>
      <c r="C40" s="155"/>
      <c r="D40" s="155"/>
      <c r="E40" s="155"/>
      <c r="F40" s="155"/>
      <c r="G40" s="155"/>
      <c r="H40" s="156"/>
      <c r="I40" s="156"/>
      <c r="J40" s="156"/>
      <c r="K40" s="156"/>
      <c r="L40" s="156"/>
      <c r="M40" s="156"/>
      <c r="N40" s="156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40" x14ac:dyDescent="0.4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</row>
    <row r="42" spans="1:40" x14ac:dyDescent="0.45">
      <c r="A42" s="16" t="s">
        <v>147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</row>
    <row r="43" spans="1:40" x14ac:dyDescent="0.45">
      <c r="A43" s="16" t="s">
        <v>148</v>
      </c>
      <c r="B43" s="16" t="s">
        <v>149</v>
      </c>
      <c r="C43" s="16" t="s">
        <v>150</v>
      </c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</row>
    <row r="44" spans="1:40" x14ac:dyDescent="0.45">
      <c r="A44" s="156" t="s">
        <v>151</v>
      </c>
      <c r="B44" s="156" t="s">
        <v>152</v>
      </c>
      <c r="C44" s="156" t="s">
        <v>153</v>
      </c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</row>
    <row r="45" spans="1:40" x14ac:dyDescent="0.45">
      <c r="A45" s="156" t="s">
        <v>154</v>
      </c>
      <c r="B45" s="156" t="s">
        <v>155</v>
      </c>
      <c r="C45" s="156" t="s">
        <v>156</v>
      </c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</row>
    <row r="46" spans="1:40" x14ac:dyDescent="0.45">
      <c r="A46" s="156" t="s">
        <v>157</v>
      </c>
      <c r="B46" s="156" t="s">
        <v>158</v>
      </c>
      <c r="C46" s="156" t="s">
        <v>159</v>
      </c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</row>
    <row r="47" spans="1:40" x14ac:dyDescent="0.45">
      <c r="A47" s="156" t="s">
        <v>160</v>
      </c>
      <c r="B47" s="156" t="s">
        <v>161</v>
      </c>
      <c r="C47" s="156" t="s">
        <v>162</v>
      </c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</row>
    <row r="48" spans="1:40" x14ac:dyDescent="0.45">
      <c r="A48" s="156" t="s">
        <v>163</v>
      </c>
      <c r="B48" s="156" t="s">
        <v>70</v>
      </c>
      <c r="C48" s="156" t="s">
        <v>164</v>
      </c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</row>
    <row r="49" spans="1:14" x14ac:dyDescent="0.45">
      <c r="A49" s="156" t="s">
        <v>165</v>
      </c>
      <c r="B49" s="156" t="s">
        <v>166</v>
      </c>
      <c r="C49" s="156" t="s">
        <v>167</v>
      </c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</row>
    <row r="50" spans="1:14" x14ac:dyDescent="0.45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</row>
    <row r="51" spans="1:14" x14ac:dyDescent="0.45">
      <c r="A51" s="16" t="s">
        <v>168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</row>
    <row r="52" spans="1:14" x14ac:dyDescent="0.45">
      <c r="A52" s="16" t="s">
        <v>169</v>
      </c>
      <c r="B52" s="16" t="s">
        <v>170</v>
      </c>
      <c r="C52" s="16" t="s">
        <v>171</v>
      </c>
      <c r="D52" s="16" t="s">
        <v>172</v>
      </c>
      <c r="E52" s="16" t="s">
        <v>173</v>
      </c>
      <c r="F52" s="16" t="s">
        <v>174</v>
      </c>
      <c r="G52" s="156"/>
      <c r="H52" s="156"/>
      <c r="I52" s="156"/>
      <c r="J52" s="156"/>
      <c r="K52" s="156"/>
      <c r="L52" s="156"/>
      <c r="M52" s="156"/>
      <c r="N52" s="156"/>
    </row>
    <row r="53" spans="1:14" x14ac:dyDescent="0.45">
      <c r="A53" s="156" t="s">
        <v>175</v>
      </c>
      <c r="B53" s="156" t="s">
        <v>176</v>
      </c>
      <c r="C53" s="156" t="s">
        <v>177</v>
      </c>
      <c r="D53" s="156" t="s">
        <v>178</v>
      </c>
      <c r="E53" s="156" t="s">
        <v>179</v>
      </c>
      <c r="F53" s="156" t="s">
        <v>180</v>
      </c>
      <c r="G53" s="156"/>
      <c r="H53" s="156"/>
      <c r="I53" s="156"/>
      <c r="J53" s="156"/>
      <c r="K53" s="156"/>
      <c r="L53" s="156"/>
      <c r="M53" s="156"/>
      <c r="N53" s="156"/>
    </row>
    <row r="54" spans="1:14" x14ac:dyDescent="0.45">
      <c r="A54" s="156" t="s">
        <v>181</v>
      </c>
      <c r="B54" s="156" t="s">
        <v>182</v>
      </c>
      <c r="C54" s="156" t="s">
        <v>183</v>
      </c>
      <c r="D54" s="156" t="s">
        <v>184</v>
      </c>
      <c r="E54" s="156" t="s">
        <v>185</v>
      </c>
      <c r="F54" s="156" t="s">
        <v>186</v>
      </c>
      <c r="G54" s="156"/>
      <c r="H54" s="156"/>
      <c r="I54" s="156"/>
      <c r="J54" s="156"/>
      <c r="K54" s="156"/>
      <c r="L54" s="156"/>
      <c r="M54" s="156"/>
      <c r="N54" s="156"/>
    </row>
    <row r="55" spans="1:14" x14ac:dyDescent="0.45">
      <c r="A55" s="156" t="s">
        <v>187</v>
      </c>
      <c r="B55" s="156" t="s">
        <v>188</v>
      </c>
      <c r="C55" s="156" t="s">
        <v>189</v>
      </c>
      <c r="D55" s="156" t="s">
        <v>190</v>
      </c>
      <c r="E55" s="156" t="s">
        <v>191</v>
      </c>
      <c r="F55" s="156" t="s">
        <v>192</v>
      </c>
      <c r="G55" s="156"/>
      <c r="H55" s="156"/>
      <c r="I55" s="156"/>
      <c r="J55" s="156"/>
      <c r="K55" s="156"/>
      <c r="L55" s="156"/>
      <c r="M55" s="156"/>
      <c r="N55" s="156"/>
    </row>
    <row r="56" spans="1:14" x14ac:dyDescent="0.45">
      <c r="A56" s="156" t="s">
        <v>193</v>
      </c>
      <c r="B56" s="156" t="s">
        <v>188</v>
      </c>
      <c r="C56" s="156" t="s">
        <v>194</v>
      </c>
      <c r="D56" s="156" t="s">
        <v>183</v>
      </c>
      <c r="E56" s="156" t="s">
        <v>195</v>
      </c>
      <c r="F56" s="156" t="s">
        <v>196</v>
      </c>
      <c r="G56" s="156"/>
      <c r="H56" s="156"/>
      <c r="I56" s="156"/>
      <c r="J56" s="156"/>
      <c r="K56" s="156"/>
      <c r="L56" s="156"/>
      <c r="M56" s="156"/>
      <c r="N56" s="156"/>
    </row>
    <row r="57" spans="1:14" x14ac:dyDescent="0.45">
      <c r="A57" s="156" t="s">
        <v>197</v>
      </c>
      <c r="B57" s="156" t="s">
        <v>188</v>
      </c>
      <c r="C57" s="156" t="s">
        <v>182</v>
      </c>
      <c r="D57" s="156" t="s">
        <v>198</v>
      </c>
      <c r="E57" s="156" t="s">
        <v>199</v>
      </c>
      <c r="F57" s="156" t="s">
        <v>200</v>
      </c>
      <c r="G57" s="156"/>
      <c r="H57" s="156"/>
      <c r="I57" s="156"/>
      <c r="J57" s="156"/>
      <c r="K57" s="156"/>
      <c r="L57" s="156"/>
      <c r="M57" s="156"/>
      <c r="N57" s="156"/>
    </row>
    <row r="58" spans="1:14" x14ac:dyDescent="0.45">
      <c r="A58" s="156" t="s">
        <v>201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</row>
    <row r="59" spans="1:14" x14ac:dyDescent="0.45">
      <c r="A59" s="156" t="s">
        <v>202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</row>
    <row r="60" spans="1:14" x14ac:dyDescent="0.45">
      <c r="A60" s="16" t="s">
        <v>203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</row>
    <row r="61" spans="1:14" x14ac:dyDescent="0.45">
      <c r="A61" s="16" t="s">
        <v>204</v>
      </c>
      <c r="B61" s="16"/>
      <c r="C61" s="1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</row>
    <row r="62" spans="1:14" x14ac:dyDescent="0.45">
      <c r="A62" s="156" t="s">
        <v>205</v>
      </c>
      <c r="B62" s="156" t="s">
        <v>206</v>
      </c>
      <c r="C62" s="156" t="s">
        <v>207</v>
      </c>
      <c r="D62" s="156" t="s">
        <v>208</v>
      </c>
      <c r="E62" s="156"/>
      <c r="F62" s="156"/>
      <c r="G62" s="156"/>
      <c r="H62" s="156"/>
      <c r="I62" s="156"/>
      <c r="J62" s="156"/>
      <c r="K62" s="156"/>
      <c r="L62" s="156"/>
      <c r="M62" s="156"/>
      <c r="N62" s="156"/>
    </row>
    <row r="63" spans="1:14" x14ac:dyDescent="0.45">
      <c r="A63" s="156" t="s">
        <v>209</v>
      </c>
      <c r="B63" s="156" t="s">
        <v>210</v>
      </c>
      <c r="C63" s="156" t="s">
        <v>211</v>
      </c>
      <c r="D63" s="156" t="s">
        <v>212</v>
      </c>
      <c r="E63" s="156"/>
      <c r="F63" s="156"/>
      <c r="G63" s="156"/>
      <c r="H63" s="156"/>
      <c r="I63" s="156"/>
      <c r="J63" s="156"/>
      <c r="K63" s="156"/>
      <c r="L63" s="156"/>
      <c r="M63" s="156"/>
      <c r="N63" s="156"/>
    </row>
    <row r="64" spans="1:14" x14ac:dyDescent="0.45">
      <c r="A64" s="156" t="s">
        <v>213</v>
      </c>
      <c r="B64" s="156" t="s">
        <v>214</v>
      </c>
      <c r="C64" s="156" t="s">
        <v>211</v>
      </c>
      <c r="D64" s="156" t="s">
        <v>215</v>
      </c>
      <c r="E64" s="156"/>
      <c r="F64" s="156"/>
      <c r="G64" s="156"/>
      <c r="H64" s="156"/>
      <c r="I64" s="156"/>
      <c r="J64" s="156"/>
      <c r="K64" s="156"/>
      <c r="L64" s="156"/>
      <c r="M64" s="156"/>
      <c r="N64" s="156"/>
    </row>
    <row r="65" spans="1:14" x14ac:dyDescent="0.45">
      <c r="A65" s="156" t="s">
        <v>216</v>
      </c>
      <c r="B65" s="156" t="s">
        <v>217</v>
      </c>
      <c r="C65" s="156" t="s">
        <v>218</v>
      </c>
      <c r="D65" s="156" t="s">
        <v>219</v>
      </c>
      <c r="E65" s="156"/>
      <c r="F65" s="156"/>
      <c r="G65" s="156"/>
      <c r="H65" s="156"/>
      <c r="I65" s="156"/>
      <c r="J65" s="156"/>
      <c r="K65" s="156"/>
      <c r="L65" s="156"/>
      <c r="M65" s="156"/>
      <c r="N65" s="156"/>
    </row>
    <row r="66" spans="1:14" x14ac:dyDescent="0.45">
      <c r="A66" s="16" t="s">
        <v>220</v>
      </c>
      <c r="B66" s="156" t="s">
        <v>221</v>
      </c>
      <c r="C66" s="156" t="s">
        <v>222</v>
      </c>
      <c r="D66" s="156" t="s">
        <v>223</v>
      </c>
      <c r="E66" s="156"/>
      <c r="F66" s="156"/>
      <c r="G66" s="156"/>
      <c r="H66" s="156"/>
      <c r="I66" s="156"/>
      <c r="J66" s="156"/>
      <c r="K66" s="156"/>
      <c r="L66" s="156"/>
      <c r="M66" s="156"/>
      <c r="N66" s="156"/>
    </row>
    <row r="67" spans="1:14" x14ac:dyDescent="0.45">
      <c r="A67" s="16" t="s">
        <v>224</v>
      </c>
      <c r="B67" s="16" t="s">
        <v>214</v>
      </c>
      <c r="C67" s="16" t="s">
        <v>225</v>
      </c>
      <c r="D67" s="156" t="s">
        <v>226</v>
      </c>
      <c r="E67" s="156"/>
      <c r="F67" s="156"/>
      <c r="G67" s="156"/>
      <c r="H67" s="156"/>
      <c r="I67" s="156"/>
      <c r="J67" s="156"/>
      <c r="K67" s="156"/>
      <c r="L67" s="156"/>
      <c r="M67" s="156"/>
      <c r="N67" s="156"/>
    </row>
    <row r="68" spans="1:14" x14ac:dyDescent="0.45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</row>
    <row r="69" spans="1:14" x14ac:dyDescent="0.45">
      <c r="A69" s="156" t="s">
        <v>227</v>
      </c>
      <c r="B69" s="156" t="s">
        <v>228</v>
      </c>
      <c r="C69" s="156" t="s">
        <v>229</v>
      </c>
      <c r="D69" s="156" t="s">
        <v>230</v>
      </c>
      <c r="E69" s="156"/>
      <c r="F69" s="156"/>
      <c r="G69" s="156"/>
      <c r="H69" s="156"/>
      <c r="I69" s="156"/>
      <c r="J69" s="156"/>
      <c r="K69" s="156"/>
      <c r="L69" s="156"/>
      <c r="M69" s="156"/>
      <c r="N69" s="156"/>
    </row>
    <row r="70" spans="1:14" x14ac:dyDescent="0.45">
      <c r="A70" s="156" t="s">
        <v>231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</row>
    <row r="71" spans="1:14" x14ac:dyDescent="0.45">
      <c r="A71" s="156" t="s">
        <v>232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</row>
    <row r="72" spans="1:14" x14ac:dyDescent="0.45">
      <c r="A72" s="156" t="s">
        <v>1</v>
      </c>
      <c r="B72" s="156" t="s">
        <v>149</v>
      </c>
      <c r="C72" s="156" t="s">
        <v>150</v>
      </c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</row>
    <row r="73" spans="1:14" x14ac:dyDescent="0.45">
      <c r="A73" s="156" t="s">
        <v>233</v>
      </c>
      <c r="B73" s="156" t="s">
        <v>234</v>
      </c>
      <c r="C73" s="156" t="s">
        <v>235</v>
      </c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</row>
    <row r="74" spans="1:14" x14ac:dyDescent="0.45">
      <c r="A74" s="156" t="s">
        <v>236</v>
      </c>
      <c r="B74" s="156" t="s">
        <v>237</v>
      </c>
      <c r="C74" s="156" t="s">
        <v>238</v>
      </c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</row>
    <row r="75" spans="1:14" x14ac:dyDescent="0.45">
      <c r="A75" s="16" t="s">
        <v>239</v>
      </c>
      <c r="B75" s="156" t="s">
        <v>240</v>
      </c>
      <c r="C75" s="156" t="s">
        <v>241</v>
      </c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</row>
    <row r="76" spans="1:14" x14ac:dyDescent="0.45">
      <c r="A76" s="16" t="s">
        <v>242</v>
      </c>
      <c r="B76" s="16" t="s">
        <v>243</v>
      </c>
      <c r="C76" s="16" t="s">
        <v>244</v>
      </c>
      <c r="D76" s="16"/>
      <c r="E76" s="16"/>
      <c r="F76" s="156"/>
      <c r="G76" s="156"/>
      <c r="H76" s="156"/>
      <c r="I76" s="156"/>
      <c r="J76" s="156"/>
      <c r="K76" s="156"/>
      <c r="L76" s="156"/>
      <c r="M76" s="156"/>
      <c r="N76" s="156"/>
    </row>
    <row r="77" spans="1:14" x14ac:dyDescent="0.45">
      <c r="A77" s="156" t="s">
        <v>245</v>
      </c>
      <c r="B77" s="156" t="s">
        <v>246</v>
      </c>
      <c r="C77" s="156" t="s">
        <v>247</v>
      </c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</row>
    <row r="78" spans="1:14" x14ac:dyDescent="0.45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</row>
    <row r="79" spans="1:14" x14ac:dyDescent="0.45">
      <c r="A79" s="156" t="s">
        <v>248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</row>
    <row r="80" spans="1:14" x14ac:dyDescent="0.45">
      <c r="A80" s="16" t="s">
        <v>249</v>
      </c>
      <c r="B80" s="156" t="s">
        <v>250</v>
      </c>
      <c r="C80" s="156" t="s">
        <v>251</v>
      </c>
      <c r="D80" s="156" t="s">
        <v>252</v>
      </c>
      <c r="E80" s="156"/>
      <c r="F80" s="156"/>
      <c r="G80" s="156"/>
      <c r="H80" s="156"/>
      <c r="I80" s="156"/>
      <c r="J80" s="156"/>
      <c r="K80" s="156"/>
      <c r="L80" s="156"/>
      <c r="M80" s="156"/>
      <c r="N80" s="156"/>
    </row>
    <row r="81" spans="1:14" x14ac:dyDescent="0.45">
      <c r="A81" s="16" t="s">
        <v>170</v>
      </c>
      <c r="B81" s="16" t="s">
        <v>253</v>
      </c>
      <c r="C81" s="16" t="s">
        <v>254</v>
      </c>
      <c r="D81" s="156" t="s">
        <v>255</v>
      </c>
      <c r="E81" s="156"/>
      <c r="F81" s="156"/>
      <c r="G81" s="156"/>
      <c r="H81" s="156"/>
      <c r="I81" s="156"/>
      <c r="J81" s="156"/>
      <c r="K81" s="156"/>
      <c r="L81" s="156"/>
      <c r="M81" s="156"/>
      <c r="N81" s="156"/>
    </row>
    <row r="82" spans="1:14" x14ac:dyDescent="0.45">
      <c r="A82" s="156" t="s">
        <v>171</v>
      </c>
      <c r="B82" s="156" t="s">
        <v>256</v>
      </c>
      <c r="C82" s="156" t="s">
        <v>257</v>
      </c>
      <c r="D82" s="156" t="s">
        <v>258</v>
      </c>
      <c r="E82" s="156"/>
      <c r="F82" s="156"/>
      <c r="G82" s="156"/>
      <c r="H82" s="156"/>
      <c r="I82" s="156"/>
      <c r="J82" s="156"/>
      <c r="K82" s="156"/>
      <c r="L82" s="156"/>
      <c r="M82" s="156"/>
      <c r="N82" s="156"/>
    </row>
    <row r="83" spans="1:14" x14ac:dyDescent="0.45">
      <c r="A83" s="156" t="s">
        <v>172</v>
      </c>
      <c r="B83" s="156" t="s">
        <v>259</v>
      </c>
      <c r="C83" s="156" t="s">
        <v>260</v>
      </c>
      <c r="D83" s="156" t="s">
        <v>261</v>
      </c>
      <c r="E83" s="156"/>
      <c r="F83" s="156"/>
      <c r="G83" s="156"/>
      <c r="H83" s="156"/>
      <c r="I83" s="156"/>
      <c r="J83" s="156"/>
      <c r="K83" s="156"/>
      <c r="L83" s="156"/>
      <c r="M83" s="156"/>
      <c r="N83" s="156"/>
    </row>
    <row r="84" spans="1:14" x14ac:dyDescent="0.45">
      <c r="A84" s="156" t="s">
        <v>262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</row>
    <row r="85" spans="1:14" x14ac:dyDescent="0.4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</row>
    <row r="86" spans="1:14" x14ac:dyDescent="0.45">
      <c r="A86" s="156" t="s">
        <v>263</v>
      </c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</row>
    <row r="87" spans="1:14" x14ac:dyDescent="0.45">
      <c r="A87" s="156" t="s">
        <v>1</v>
      </c>
      <c r="B87" s="156" t="s">
        <v>170</v>
      </c>
      <c r="C87" s="156" t="s">
        <v>171</v>
      </c>
      <c r="D87" s="156" t="s">
        <v>172</v>
      </c>
      <c r="E87" s="156" t="s">
        <v>150</v>
      </c>
      <c r="F87" s="156"/>
      <c r="G87" s="156"/>
      <c r="H87" s="156"/>
      <c r="I87" s="156"/>
      <c r="J87" s="156"/>
      <c r="K87" s="156"/>
      <c r="L87" s="156"/>
      <c r="M87" s="156"/>
      <c r="N87" s="156"/>
    </row>
    <row r="88" spans="1:14" x14ac:dyDescent="0.45">
      <c r="A88" s="16" t="s">
        <v>264</v>
      </c>
      <c r="B88" s="156" t="s">
        <v>265</v>
      </c>
      <c r="C88" s="156" t="s">
        <v>266</v>
      </c>
      <c r="D88" s="156" t="s">
        <v>267</v>
      </c>
      <c r="E88" s="156" t="s">
        <v>268</v>
      </c>
      <c r="F88" s="156"/>
      <c r="G88" s="156"/>
      <c r="H88" s="156"/>
      <c r="I88" s="156"/>
      <c r="J88" s="156"/>
      <c r="K88" s="156"/>
      <c r="L88" s="156"/>
      <c r="M88" s="156"/>
      <c r="N88" s="156"/>
    </row>
    <row r="89" spans="1:14" x14ac:dyDescent="0.45">
      <c r="A89" s="153" t="s">
        <v>269</v>
      </c>
      <c r="B89" s="156" t="s">
        <v>270</v>
      </c>
      <c r="C89" s="156" t="s">
        <v>271</v>
      </c>
      <c r="D89" s="156" t="s">
        <v>272</v>
      </c>
      <c r="E89" s="156" t="s">
        <v>273</v>
      </c>
      <c r="F89" s="156"/>
      <c r="G89" s="156"/>
      <c r="H89" s="156"/>
      <c r="I89" s="156"/>
      <c r="J89" s="156"/>
      <c r="K89" s="156"/>
      <c r="L89" s="156"/>
      <c r="M89" s="156"/>
      <c r="N89" s="156"/>
    </row>
    <row r="90" spans="1:14" x14ac:dyDescent="0.45">
      <c r="A90" s="153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</row>
    <row r="91" spans="1:14" x14ac:dyDescent="0.45">
      <c r="A91" s="153" t="s">
        <v>274</v>
      </c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</row>
    <row r="92" spans="1:14" x14ac:dyDescent="0.45">
      <c r="A92" s="153" t="s">
        <v>1</v>
      </c>
      <c r="B92" s="156" t="s">
        <v>275</v>
      </c>
      <c r="C92" s="156" t="s">
        <v>276</v>
      </c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</row>
    <row r="93" spans="1:14" x14ac:dyDescent="0.45">
      <c r="A93" s="156" t="s">
        <v>277</v>
      </c>
      <c r="B93" s="156" t="s">
        <v>278</v>
      </c>
      <c r="C93" s="156" t="s">
        <v>279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</row>
    <row r="94" spans="1:14" x14ac:dyDescent="0.45">
      <c r="A94" s="156" t="s">
        <v>280</v>
      </c>
      <c r="B94" s="156" t="s">
        <v>281</v>
      </c>
      <c r="C94" s="156" t="s">
        <v>282</v>
      </c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</row>
    <row r="95" spans="1:14" x14ac:dyDescent="0.45">
      <c r="A95" s="156" t="s">
        <v>283</v>
      </c>
      <c r="B95" s="156" t="s">
        <v>284</v>
      </c>
      <c r="C95" s="156" t="s">
        <v>285</v>
      </c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</row>
    <row r="96" spans="1:14" x14ac:dyDescent="0.45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</row>
    <row r="97" spans="1:14" x14ac:dyDescent="0.45">
      <c r="A97" s="156" t="s">
        <v>286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</row>
    <row r="98" spans="1:14" x14ac:dyDescent="0.45">
      <c r="A98" s="156" t="s">
        <v>287</v>
      </c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</row>
    <row r="99" spans="1:14" x14ac:dyDescent="0.45">
      <c r="A99" s="156" t="s">
        <v>288</v>
      </c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</row>
    <row r="100" spans="1:14" x14ac:dyDescent="0.45">
      <c r="A100" s="156" t="s">
        <v>289</v>
      </c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</row>
    <row r="101" spans="1:14" x14ac:dyDescent="0.45">
      <c r="A101" s="156" t="s">
        <v>290</v>
      </c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</row>
    <row r="102" spans="1:14" x14ac:dyDescent="0.45">
      <c r="A102" s="156" t="s">
        <v>291</v>
      </c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</row>
    <row r="103" spans="1:14" x14ac:dyDescent="0.45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</row>
    <row r="104" spans="1:14" x14ac:dyDescent="0.45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</row>
    <row r="105" spans="1:14" x14ac:dyDescent="0.4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</row>
    <row r="106" spans="1:14" x14ac:dyDescent="0.45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</row>
    <row r="107" spans="1:14" x14ac:dyDescent="0.45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</row>
    <row r="108" spans="1:14" x14ac:dyDescent="0.45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</row>
    <row r="109" spans="1:14" x14ac:dyDescent="0.45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</row>
  </sheetData>
  <mergeCells count="2">
    <mergeCell ref="A1:AL1"/>
    <mergeCell ref="A4:AK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51"/>
  <sheetViews>
    <sheetView zoomScaleNormal="100" workbookViewId="0"/>
  </sheetViews>
  <sheetFormatPr defaultColWidth="8.6640625" defaultRowHeight="14.25" x14ac:dyDescent="0.45"/>
  <cols>
    <col min="1" max="1" width="28" customWidth="1"/>
    <col min="2" max="38" width="10" customWidth="1"/>
  </cols>
  <sheetData>
    <row r="1" spans="1:49" ht="24.75" customHeight="1" x14ac:dyDescent="0.45">
      <c r="A1" s="126" t="s">
        <v>292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</row>
    <row r="2" spans="1:49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1:49" ht="14.25" customHeight="1" x14ac:dyDescent="0.45">
      <c r="A3" s="128" t="s">
        <v>293</v>
      </c>
      <c r="B3" s="128" t="s">
        <v>2</v>
      </c>
      <c r="C3" s="128" t="s">
        <v>3</v>
      </c>
      <c r="D3" s="128" t="s">
        <v>4</v>
      </c>
      <c r="E3" s="128" t="s">
        <v>5</v>
      </c>
      <c r="F3" s="128" t="s">
        <v>6</v>
      </c>
      <c r="G3" s="128" t="s">
        <v>7</v>
      </c>
      <c r="H3" s="128" t="s">
        <v>8</v>
      </c>
      <c r="I3" s="128" t="s">
        <v>9</v>
      </c>
      <c r="J3" s="128" t="s">
        <v>10</v>
      </c>
      <c r="K3" s="128" t="s">
        <v>11</v>
      </c>
      <c r="L3" s="128" t="s">
        <v>12</v>
      </c>
      <c r="M3" s="128" t="s">
        <v>13</v>
      </c>
      <c r="N3" s="128" t="s">
        <v>14</v>
      </c>
      <c r="O3" s="128" t="s">
        <v>15</v>
      </c>
      <c r="P3" s="128" t="s">
        <v>16</v>
      </c>
      <c r="Q3" s="128" t="s">
        <v>17</v>
      </c>
      <c r="R3" s="128" t="s">
        <v>18</v>
      </c>
      <c r="S3" s="128" t="s">
        <v>19</v>
      </c>
      <c r="T3" s="128" t="s">
        <v>20</v>
      </c>
      <c r="U3" s="128" t="s">
        <v>21</v>
      </c>
      <c r="V3" s="128" t="s">
        <v>22</v>
      </c>
      <c r="W3" s="128" t="s">
        <v>23</v>
      </c>
      <c r="X3" s="128" t="s">
        <v>24</v>
      </c>
      <c r="Y3" s="128" t="s">
        <v>25</v>
      </c>
      <c r="Z3" s="128" t="s">
        <v>26</v>
      </c>
      <c r="AA3" s="128" t="s">
        <v>27</v>
      </c>
      <c r="AB3" s="128" t="s">
        <v>28</v>
      </c>
      <c r="AC3" s="128" t="s">
        <v>29</v>
      </c>
      <c r="AD3" s="128" t="s">
        <v>30</v>
      </c>
      <c r="AE3" s="128" t="s">
        <v>31</v>
      </c>
      <c r="AF3" s="128" t="s">
        <v>32</v>
      </c>
      <c r="AG3" s="128" t="s">
        <v>33</v>
      </c>
      <c r="AH3" s="128" t="s">
        <v>34</v>
      </c>
      <c r="AI3" s="128" t="s">
        <v>35</v>
      </c>
      <c r="AJ3" s="128" t="s">
        <v>36</v>
      </c>
      <c r="AK3" s="128" t="s">
        <v>37</v>
      </c>
      <c r="AL3" s="129"/>
    </row>
    <row r="4" spans="1:49" ht="14.25" customHeight="1" x14ac:dyDescent="0.45">
      <c r="A4" s="60" t="s">
        <v>294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130"/>
    </row>
    <row r="5" spans="1:49" ht="14.25" customHeight="1" x14ac:dyDescent="0.45">
      <c r="A5" s="23" t="s">
        <v>295</v>
      </c>
      <c r="B5" s="93">
        <f>'Revenue Model'!B$28*'Model Inputs'!$B$60</f>
        <v>0</v>
      </c>
      <c r="C5" s="93">
        <f>'Revenue Model'!C$28*'Model Inputs'!$B$60</f>
        <v>0</v>
      </c>
      <c r="D5" s="93">
        <f>'Revenue Model'!D$28*'Model Inputs'!$B$60</f>
        <v>0</v>
      </c>
      <c r="E5" s="93">
        <f>'Revenue Model'!E$28*'Model Inputs'!$B$60</f>
        <v>822.8</v>
      </c>
      <c r="F5" s="93">
        <f>'Revenue Model'!F$28*'Model Inputs'!$B$60</f>
        <v>1312.3999999999999</v>
      </c>
      <c r="G5" s="93">
        <f>'Revenue Model'!G$28*'Model Inputs'!$B$60</f>
        <v>2046.8</v>
      </c>
      <c r="H5" s="93">
        <f>'Revenue Model'!H$28*'Model Inputs'!$B$60</f>
        <v>2944.4</v>
      </c>
      <c r="I5" s="93">
        <f>'Revenue Model'!I$28*'Model Inputs'!$B$60</f>
        <v>3838.6</v>
      </c>
      <c r="J5" s="93">
        <f>'Revenue Model'!J$28*'Model Inputs'!$B$60</f>
        <v>4794</v>
      </c>
      <c r="K5" s="93">
        <f>'Revenue Model'!K$28*'Model Inputs'!$B$60</f>
        <v>5746</v>
      </c>
      <c r="L5" s="93">
        <f>'Revenue Model'!L$28*'Model Inputs'!$B$60</f>
        <v>6694.5999999999995</v>
      </c>
      <c r="M5" s="93">
        <f>'Revenue Model'!M$28*'Model Inputs'!$B$60</f>
        <v>7639.8</v>
      </c>
      <c r="N5" s="93">
        <f>'Revenue Model'!N$28*'Model Inputs'!$C$60</f>
        <v>6928.2000000000007</v>
      </c>
      <c r="O5" s="93">
        <f>'Revenue Model'!O$28*'Model Inputs'!$C$60</f>
        <v>7854.3</v>
      </c>
      <c r="P5" s="93">
        <f>'Revenue Model'!P$28*'Model Inputs'!$C$60</f>
        <v>8910</v>
      </c>
      <c r="Q5" s="93">
        <f>'Revenue Model'!Q$28*'Model Inputs'!$C$60</f>
        <v>10065.6</v>
      </c>
      <c r="R5" s="93">
        <f>'Revenue Model'!R$28*'Model Inputs'!$C$60</f>
        <v>11291.400000000001</v>
      </c>
      <c r="S5" s="93">
        <f>'Revenue Model'!S$28*'Model Inputs'!$C$60</f>
        <v>12838.5</v>
      </c>
      <c r="T5" s="93">
        <f>'Revenue Model'!T$28*'Model Inputs'!$C$60</f>
        <v>14523.300000000001</v>
      </c>
      <c r="U5" s="93">
        <f>'Revenue Model'!U$28*'Model Inputs'!$C$60</f>
        <v>16200.000000000002</v>
      </c>
      <c r="V5" s="93">
        <f>'Revenue Model'!V$28*'Model Inputs'!$C$60</f>
        <v>18006.300000000003</v>
      </c>
      <c r="W5" s="93">
        <f>'Revenue Model'!W$28*'Model Inputs'!$C$60</f>
        <v>19877.400000000001</v>
      </c>
      <c r="X5" s="93">
        <f>'Revenue Model'!X$28*'Model Inputs'!$C$60</f>
        <v>22034.7</v>
      </c>
      <c r="Y5" s="93">
        <f>'Revenue Model'!Y$28*'Model Inputs'!$C$60</f>
        <v>24359.4</v>
      </c>
      <c r="Z5" s="93">
        <f>'Revenue Model'!Z$28*'Model Inputs'!$D$60</f>
        <v>20704.32</v>
      </c>
      <c r="AA5" s="93">
        <f>'Revenue Model'!AA$28*'Model Inputs'!$D$60</f>
        <v>22634.560000000001</v>
      </c>
      <c r="AB5" s="93">
        <f>'Revenue Model'!AB$28*'Model Inputs'!$D$60</f>
        <v>24556.48</v>
      </c>
      <c r="AC5" s="93">
        <f>'Revenue Model'!AC$28*'Model Inputs'!$D$60</f>
        <v>26790.400000000001</v>
      </c>
      <c r="AD5" s="93">
        <f>'Revenue Model'!AD$28*'Model Inputs'!$D$60</f>
        <v>29013.920000000002</v>
      </c>
      <c r="AE5" s="93">
        <f>'Revenue Model'!AE$28*'Model Inputs'!$D$60</f>
        <v>31287.360000000001</v>
      </c>
      <c r="AF5" s="93">
        <f>'Revenue Model'!AF$28*'Model Inputs'!$D$60</f>
        <v>33916.480000000003</v>
      </c>
      <c r="AG5" s="93">
        <f>'Revenue Model'!AG$28*'Model Inputs'!$D$60</f>
        <v>36535.200000000004</v>
      </c>
      <c r="AH5" s="93">
        <f>'Revenue Model'!AH$28*'Model Inputs'!$D$60</f>
        <v>39201.760000000002</v>
      </c>
      <c r="AI5" s="93">
        <f>'Revenue Model'!AI$28*'Model Inputs'!$D$60</f>
        <v>42117.919999999998</v>
      </c>
      <c r="AJ5" s="93">
        <f>'Revenue Model'!AJ$28*'Model Inputs'!$D$60</f>
        <v>45079.840000000004</v>
      </c>
      <c r="AK5" s="93">
        <f>'Revenue Model'!AK$28*'Model Inputs'!$D$60</f>
        <v>48029.279999999999</v>
      </c>
      <c r="AL5" s="108">
        <f>'Revenue Model'!AL$28*'Model Inputs'!$D$60</f>
        <v>48478.560000000005</v>
      </c>
    </row>
    <row r="6" spans="1:49" ht="14.25" customHeight="1" x14ac:dyDescent="0.45">
      <c r="A6" s="25" t="s">
        <v>296</v>
      </c>
      <c r="B6" s="94">
        <f>'Revenue Model'!B$28*'Model Inputs'!$B$61</f>
        <v>0</v>
      </c>
      <c r="C6" s="94">
        <f>'Revenue Model'!C$28*'Model Inputs'!$B$61</f>
        <v>0</v>
      </c>
      <c r="D6" s="94">
        <f>'Revenue Model'!D$28*'Model Inputs'!$B$61</f>
        <v>0</v>
      </c>
      <c r="E6" s="94">
        <f>'Revenue Model'!E$28*'Model Inputs'!$B$61</f>
        <v>174.23999999999998</v>
      </c>
      <c r="F6" s="94">
        <f>'Revenue Model'!F$28*'Model Inputs'!$B$61</f>
        <v>277.92</v>
      </c>
      <c r="G6" s="94">
        <f>'Revenue Model'!G$28*'Model Inputs'!$B$61</f>
        <v>433.44</v>
      </c>
      <c r="H6" s="94">
        <f>'Revenue Model'!H$28*'Model Inputs'!$B$61</f>
        <v>623.52</v>
      </c>
      <c r="I6" s="94">
        <f>'Revenue Model'!I$28*'Model Inputs'!$B$61</f>
        <v>812.88</v>
      </c>
      <c r="J6" s="94">
        <f>'Revenue Model'!J$28*'Model Inputs'!$B$61</f>
        <v>1015.1999999999999</v>
      </c>
      <c r="K6" s="94">
        <f>'Revenue Model'!K$28*'Model Inputs'!$B$61</f>
        <v>1216.8</v>
      </c>
      <c r="L6" s="94">
        <f>'Revenue Model'!L$28*'Model Inputs'!$B$61</f>
        <v>1417.6799999999998</v>
      </c>
      <c r="M6" s="94">
        <f>'Revenue Model'!M$28*'Model Inputs'!$B$61</f>
        <v>1617.84</v>
      </c>
      <c r="N6" s="94">
        <f>'Revenue Model'!N$28*'Model Inputs'!$C$61</f>
        <v>1206.02</v>
      </c>
      <c r="O6" s="94">
        <f>'Revenue Model'!O$28*'Model Inputs'!$C$61</f>
        <v>1367.23</v>
      </c>
      <c r="P6" s="94">
        <f>'Revenue Model'!P$28*'Model Inputs'!$C$61</f>
        <v>1551</v>
      </c>
      <c r="Q6" s="94">
        <f>'Revenue Model'!Q$28*'Model Inputs'!$C$61</f>
        <v>1752.1599999999999</v>
      </c>
      <c r="R6" s="94">
        <f>'Revenue Model'!R$28*'Model Inputs'!$C$61</f>
        <v>1965.54</v>
      </c>
      <c r="S6" s="94">
        <f>'Revenue Model'!S$28*'Model Inputs'!$C$61</f>
        <v>2234.85</v>
      </c>
      <c r="T6" s="94">
        <f>'Revenue Model'!T$28*'Model Inputs'!$C$61</f>
        <v>2528.1299999999997</v>
      </c>
      <c r="U6" s="94">
        <f>'Revenue Model'!U$28*'Model Inputs'!$C$61</f>
        <v>2820</v>
      </c>
      <c r="V6" s="94">
        <f>'Revenue Model'!V$28*'Model Inputs'!$C$61</f>
        <v>3134.43</v>
      </c>
      <c r="W6" s="94">
        <f>'Revenue Model'!W$28*'Model Inputs'!$C$61</f>
        <v>3460.14</v>
      </c>
      <c r="X6" s="94">
        <f>'Revenue Model'!X$28*'Model Inputs'!$C$61</f>
        <v>3835.6699999999996</v>
      </c>
      <c r="Y6" s="94">
        <f>'Revenue Model'!Y$28*'Model Inputs'!$C$61</f>
        <v>4240.34</v>
      </c>
      <c r="Z6" s="94">
        <f>'Revenue Model'!Z$28*'Model Inputs'!$D$61</f>
        <v>3085.74</v>
      </c>
      <c r="AA6" s="94">
        <f>'Revenue Model'!AA$28*'Model Inputs'!$D$61</f>
        <v>3373.42</v>
      </c>
      <c r="AB6" s="94">
        <f>'Revenue Model'!AB$28*'Model Inputs'!$D$61</f>
        <v>3659.86</v>
      </c>
      <c r="AC6" s="94">
        <f>'Revenue Model'!AC$28*'Model Inputs'!$D$61</f>
        <v>3992.8</v>
      </c>
      <c r="AD6" s="94">
        <f>'Revenue Model'!AD$28*'Model Inputs'!$D$61</f>
        <v>4324.1899999999996</v>
      </c>
      <c r="AE6" s="94">
        <f>'Revenue Model'!AE$28*'Model Inputs'!$D$61</f>
        <v>4663.0199999999995</v>
      </c>
      <c r="AF6" s="94">
        <f>'Revenue Model'!AF$28*'Model Inputs'!$D$61</f>
        <v>5054.8599999999997</v>
      </c>
      <c r="AG6" s="94">
        <f>'Revenue Model'!AG$28*'Model Inputs'!$D$61</f>
        <v>5445.15</v>
      </c>
      <c r="AH6" s="94">
        <f>'Revenue Model'!AH$28*'Model Inputs'!$D$61</f>
        <v>5842.57</v>
      </c>
      <c r="AI6" s="94">
        <f>'Revenue Model'!AI$28*'Model Inputs'!$D$61</f>
        <v>6277.19</v>
      </c>
      <c r="AJ6" s="94">
        <f>'Revenue Model'!AJ$28*'Model Inputs'!$D$61</f>
        <v>6718.63</v>
      </c>
      <c r="AK6" s="94">
        <f>'Revenue Model'!AK$28*'Model Inputs'!$D$61</f>
        <v>7158.21</v>
      </c>
      <c r="AL6" s="27">
        <f>'Revenue Model'!AL$28*'Model Inputs'!$D$61</f>
        <v>7225.17</v>
      </c>
    </row>
    <row r="7" spans="1:49" ht="14.25" customHeight="1" x14ac:dyDescent="0.45">
      <c r="A7" s="23" t="s">
        <v>297</v>
      </c>
      <c r="B7" s="93">
        <f>'Revenue Model'!B$28*'Model Inputs'!$B$62</f>
        <v>0</v>
      </c>
      <c r="C7" s="93">
        <f>'Revenue Model'!C$28*'Model Inputs'!$B$62</f>
        <v>0</v>
      </c>
      <c r="D7" s="93">
        <f>'Revenue Model'!D$28*'Model Inputs'!$B$62</f>
        <v>0</v>
      </c>
      <c r="E7" s="93">
        <f>'Revenue Model'!E$28*'Model Inputs'!$B$62</f>
        <v>29.04</v>
      </c>
      <c r="F7" s="93">
        <f>'Revenue Model'!F$28*'Model Inputs'!$B$62</f>
        <v>46.32</v>
      </c>
      <c r="G7" s="93">
        <f>'Revenue Model'!G$28*'Model Inputs'!$B$62</f>
        <v>72.239999999999995</v>
      </c>
      <c r="H7" s="93">
        <f>'Revenue Model'!H$28*'Model Inputs'!$B$62</f>
        <v>103.92</v>
      </c>
      <c r="I7" s="93">
        <f>'Revenue Model'!I$28*'Model Inputs'!$B$62</f>
        <v>135.47999999999999</v>
      </c>
      <c r="J7" s="93">
        <f>'Revenue Model'!J$28*'Model Inputs'!$B$62</f>
        <v>169.2</v>
      </c>
      <c r="K7" s="93">
        <f>'Revenue Model'!K$28*'Model Inputs'!$B$62</f>
        <v>202.79999999999998</v>
      </c>
      <c r="L7" s="93">
        <f>'Revenue Model'!L$28*'Model Inputs'!$B$62</f>
        <v>236.28</v>
      </c>
      <c r="M7" s="93">
        <f>'Revenue Model'!M$28*'Model Inputs'!$B$62</f>
        <v>269.64</v>
      </c>
      <c r="N7" s="93">
        <f>'Revenue Model'!N$28*'Model Inputs'!$C$62</f>
        <v>205.28</v>
      </c>
      <c r="O7" s="93">
        <f>'Revenue Model'!O$28*'Model Inputs'!$C$62</f>
        <v>232.72</v>
      </c>
      <c r="P7" s="93">
        <f>'Revenue Model'!P$28*'Model Inputs'!$C$62</f>
        <v>264</v>
      </c>
      <c r="Q7" s="93">
        <f>'Revenue Model'!Q$28*'Model Inputs'!$C$62</f>
        <v>298.24</v>
      </c>
      <c r="R7" s="93">
        <f>'Revenue Model'!R$28*'Model Inputs'!$C$62</f>
        <v>334.56</v>
      </c>
      <c r="S7" s="93">
        <f>'Revenue Model'!S$28*'Model Inputs'!$C$62</f>
        <v>380.40000000000003</v>
      </c>
      <c r="T7" s="93">
        <f>'Revenue Model'!T$28*'Model Inputs'!$C$62</f>
        <v>430.32</v>
      </c>
      <c r="U7" s="93">
        <f>'Revenue Model'!U$28*'Model Inputs'!$C$62</f>
        <v>480</v>
      </c>
      <c r="V7" s="93">
        <f>'Revenue Model'!V$28*'Model Inputs'!$C$62</f>
        <v>533.52</v>
      </c>
      <c r="W7" s="93">
        <f>'Revenue Model'!W$28*'Model Inputs'!$C$62</f>
        <v>588.96</v>
      </c>
      <c r="X7" s="93">
        <f>'Revenue Model'!X$28*'Model Inputs'!$C$62</f>
        <v>652.88</v>
      </c>
      <c r="Y7" s="93">
        <f>'Revenue Model'!Y$28*'Model Inputs'!$C$62</f>
        <v>721.76</v>
      </c>
      <c r="Z7" s="93">
        <f>'Revenue Model'!Z$28*'Model Inputs'!$D$62</f>
        <v>597.24</v>
      </c>
      <c r="AA7" s="93">
        <f>'Revenue Model'!AA$28*'Model Inputs'!$D$62</f>
        <v>652.91999999999996</v>
      </c>
      <c r="AB7" s="93">
        <f>'Revenue Model'!AB$28*'Model Inputs'!$D$62</f>
        <v>708.36</v>
      </c>
      <c r="AC7" s="93">
        <f>'Revenue Model'!AC$28*'Model Inputs'!$D$62</f>
        <v>772.8</v>
      </c>
      <c r="AD7" s="93">
        <f>'Revenue Model'!AD$28*'Model Inputs'!$D$62</f>
        <v>836.93999999999994</v>
      </c>
      <c r="AE7" s="93">
        <f>'Revenue Model'!AE$28*'Model Inputs'!$D$62</f>
        <v>902.52</v>
      </c>
      <c r="AF7" s="93">
        <f>'Revenue Model'!AF$28*'Model Inputs'!$D$62</f>
        <v>978.36</v>
      </c>
      <c r="AG7" s="93">
        <f>'Revenue Model'!AG$28*'Model Inputs'!$D$62</f>
        <v>1053.8999999999999</v>
      </c>
      <c r="AH7" s="93">
        <f>'Revenue Model'!AH$28*'Model Inputs'!$D$62</f>
        <v>1130.82</v>
      </c>
      <c r="AI7" s="93">
        <f>'Revenue Model'!AI$28*'Model Inputs'!$D$62</f>
        <v>1214.94</v>
      </c>
      <c r="AJ7" s="93">
        <f>'Revenue Model'!AJ$28*'Model Inputs'!$D$62</f>
        <v>1300.3799999999999</v>
      </c>
      <c r="AK7" s="93">
        <f>'Revenue Model'!AK$28*'Model Inputs'!$D$62</f>
        <v>1385.46</v>
      </c>
      <c r="AL7" s="108">
        <f>'Revenue Model'!AL$28*'Model Inputs'!$D$62</f>
        <v>1398.4199999999998</v>
      </c>
    </row>
    <row r="8" spans="1:49" ht="14.25" customHeight="1" x14ac:dyDescent="0.45">
      <c r="A8" s="25" t="s">
        <v>298</v>
      </c>
      <c r="B8" s="94">
        <f>'Revenue Model'!B$28*'Model Inputs'!$B$63</f>
        <v>0</v>
      </c>
      <c r="C8" s="94">
        <f>'Revenue Model'!C$28*'Model Inputs'!$B$63</f>
        <v>0</v>
      </c>
      <c r="D8" s="94">
        <f>'Revenue Model'!D$28*'Model Inputs'!$B$63</f>
        <v>0</v>
      </c>
      <c r="E8" s="94">
        <f>'Revenue Model'!E$28*'Model Inputs'!$B$63</f>
        <v>58.08</v>
      </c>
      <c r="F8" s="94">
        <f>'Revenue Model'!F$28*'Model Inputs'!$B$63</f>
        <v>92.64</v>
      </c>
      <c r="G8" s="94">
        <f>'Revenue Model'!G$28*'Model Inputs'!$B$63</f>
        <v>144.47999999999999</v>
      </c>
      <c r="H8" s="94">
        <f>'Revenue Model'!H$28*'Model Inputs'!$B$63</f>
        <v>207.84</v>
      </c>
      <c r="I8" s="94">
        <f>'Revenue Model'!I$28*'Model Inputs'!$B$63</f>
        <v>270.95999999999998</v>
      </c>
      <c r="J8" s="94">
        <f>'Revenue Model'!J$28*'Model Inputs'!$B$63</f>
        <v>338.4</v>
      </c>
      <c r="K8" s="94">
        <f>'Revenue Model'!K$28*'Model Inputs'!$B$63</f>
        <v>405.59999999999997</v>
      </c>
      <c r="L8" s="94">
        <f>'Revenue Model'!L$28*'Model Inputs'!$B$63</f>
        <v>472.56</v>
      </c>
      <c r="M8" s="94">
        <f>'Revenue Model'!M$28*'Model Inputs'!$B$63</f>
        <v>539.28</v>
      </c>
      <c r="N8" s="94">
        <f>'Revenue Model'!N$28*'Model Inputs'!$C$63</f>
        <v>461.88</v>
      </c>
      <c r="O8" s="94">
        <f>'Revenue Model'!O$28*'Model Inputs'!$C$63</f>
        <v>523.62</v>
      </c>
      <c r="P8" s="94">
        <f>'Revenue Model'!P$28*'Model Inputs'!$C$63</f>
        <v>594</v>
      </c>
      <c r="Q8" s="94">
        <f>'Revenue Model'!Q$28*'Model Inputs'!$C$63</f>
        <v>671.04</v>
      </c>
      <c r="R8" s="94">
        <f>'Revenue Model'!R$28*'Model Inputs'!$C$63</f>
        <v>752.76</v>
      </c>
      <c r="S8" s="94">
        <f>'Revenue Model'!S$28*'Model Inputs'!$C$63</f>
        <v>855.9</v>
      </c>
      <c r="T8" s="94">
        <f>'Revenue Model'!T$28*'Model Inputs'!$C$63</f>
        <v>968.21999999999991</v>
      </c>
      <c r="U8" s="94">
        <f>'Revenue Model'!U$28*'Model Inputs'!$C$63</f>
        <v>1080</v>
      </c>
      <c r="V8" s="94">
        <f>'Revenue Model'!V$28*'Model Inputs'!$C$63</f>
        <v>1200.4199999999998</v>
      </c>
      <c r="W8" s="94">
        <f>'Revenue Model'!W$28*'Model Inputs'!$C$63</f>
        <v>1325.1599999999999</v>
      </c>
      <c r="X8" s="94">
        <f>'Revenue Model'!X$28*'Model Inputs'!$C$63</f>
        <v>1468.98</v>
      </c>
      <c r="Y8" s="94">
        <f>'Revenue Model'!Y$28*'Model Inputs'!$C$63</f>
        <v>1623.96</v>
      </c>
      <c r="Z8" s="94">
        <f>'Revenue Model'!Z$28*'Model Inputs'!$D$63</f>
        <v>1393.5600000000002</v>
      </c>
      <c r="AA8" s="94">
        <f>'Revenue Model'!AA$28*'Model Inputs'!$D$63</f>
        <v>1523.4800000000002</v>
      </c>
      <c r="AB8" s="94">
        <f>'Revenue Model'!AB$28*'Model Inputs'!$D$63</f>
        <v>1652.8400000000001</v>
      </c>
      <c r="AC8" s="94">
        <f>'Revenue Model'!AC$28*'Model Inputs'!$D$63</f>
        <v>1803.2000000000003</v>
      </c>
      <c r="AD8" s="94">
        <f>'Revenue Model'!AD$28*'Model Inputs'!$D$63</f>
        <v>1952.8600000000001</v>
      </c>
      <c r="AE8" s="94">
        <f>'Revenue Model'!AE$28*'Model Inputs'!$D$63</f>
        <v>2105.88</v>
      </c>
      <c r="AF8" s="94">
        <f>'Revenue Model'!AF$28*'Model Inputs'!$D$63</f>
        <v>2282.84</v>
      </c>
      <c r="AG8" s="94">
        <f>'Revenue Model'!AG$28*'Model Inputs'!$D$63</f>
        <v>2459.1000000000004</v>
      </c>
      <c r="AH8" s="94">
        <f>'Revenue Model'!AH$28*'Model Inputs'!$D$63</f>
        <v>2638.5800000000004</v>
      </c>
      <c r="AI8" s="94">
        <f>'Revenue Model'!AI$28*'Model Inputs'!$D$63</f>
        <v>2834.86</v>
      </c>
      <c r="AJ8" s="94">
        <f>'Revenue Model'!AJ$28*'Model Inputs'!$D$63</f>
        <v>3034.2200000000003</v>
      </c>
      <c r="AK8" s="94">
        <f>'Revenue Model'!AK$28*'Model Inputs'!$D$63</f>
        <v>3232.7400000000002</v>
      </c>
      <c r="AL8" s="27">
        <f>'Revenue Model'!AL$28*'Model Inputs'!$D$63</f>
        <v>3262.9800000000005</v>
      </c>
    </row>
    <row r="9" spans="1:49" ht="14.25" customHeight="1" x14ac:dyDescent="0.45">
      <c r="A9" s="23" t="s">
        <v>299</v>
      </c>
      <c r="B9" s="93">
        <f>'Revenue Model'!B$28*'Model Inputs'!$B$64</f>
        <v>0</v>
      </c>
      <c r="C9" s="93">
        <f>'Revenue Model'!C$28*'Model Inputs'!$B$64</f>
        <v>0</v>
      </c>
      <c r="D9" s="93">
        <f>'Revenue Model'!D$28*'Model Inputs'!$B$64</f>
        <v>0</v>
      </c>
      <c r="E9" s="93">
        <f>'Revenue Model'!E$28*'Model Inputs'!$B$64</f>
        <v>0</v>
      </c>
      <c r="F9" s="93">
        <f>'Revenue Model'!F$28*'Model Inputs'!$B$64</f>
        <v>0</v>
      </c>
      <c r="G9" s="93">
        <f>'Revenue Model'!G$28*'Model Inputs'!$B$64</f>
        <v>0</v>
      </c>
      <c r="H9" s="93">
        <f>'Revenue Model'!H$28*'Model Inputs'!$B$64</f>
        <v>0</v>
      </c>
      <c r="I9" s="93">
        <f>'Revenue Model'!I$28*'Model Inputs'!$B$64</f>
        <v>0</v>
      </c>
      <c r="J9" s="93">
        <f>'Revenue Model'!J$28*'Model Inputs'!$B$64</f>
        <v>0</v>
      </c>
      <c r="K9" s="93">
        <f>'Revenue Model'!K$28*'Model Inputs'!$B$64</f>
        <v>0</v>
      </c>
      <c r="L9" s="93">
        <f>'Revenue Model'!L$28*'Model Inputs'!$B$64</f>
        <v>0</v>
      </c>
      <c r="M9" s="93">
        <f>'Revenue Model'!M$28*'Model Inputs'!$B$64</f>
        <v>0</v>
      </c>
      <c r="N9" s="93">
        <f>'Revenue Model'!N$28*'Model Inputs'!$C$64</f>
        <v>153.96</v>
      </c>
      <c r="O9" s="93">
        <f>'Revenue Model'!O$28*'Model Inputs'!$C$64</f>
        <v>174.54</v>
      </c>
      <c r="P9" s="93">
        <f>'Revenue Model'!P$28*'Model Inputs'!$C$64</f>
        <v>198</v>
      </c>
      <c r="Q9" s="93">
        <f>'Revenue Model'!Q$28*'Model Inputs'!$C$64</f>
        <v>223.67999999999998</v>
      </c>
      <c r="R9" s="93">
        <f>'Revenue Model'!R$28*'Model Inputs'!$C$64</f>
        <v>250.92</v>
      </c>
      <c r="S9" s="93">
        <f>'Revenue Model'!S$28*'Model Inputs'!$C$64</f>
        <v>285.3</v>
      </c>
      <c r="T9" s="93">
        <f>'Revenue Model'!T$28*'Model Inputs'!$C$64</f>
        <v>322.74</v>
      </c>
      <c r="U9" s="93">
        <f>'Revenue Model'!U$28*'Model Inputs'!$C$64</f>
        <v>360</v>
      </c>
      <c r="V9" s="93">
        <f>'Revenue Model'!V$28*'Model Inputs'!$C$64</f>
        <v>400.14</v>
      </c>
      <c r="W9" s="93">
        <f>'Revenue Model'!W$28*'Model Inputs'!$C$64</f>
        <v>441.71999999999997</v>
      </c>
      <c r="X9" s="93">
        <f>'Revenue Model'!X$28*'Model Inputs'!$C$64</f>
        <v>489.65999999999997</v>
      </c>
      <c r="Y9" s="93">
        <f>'Revenue Model'!Y$28*'Model Inputs'!$C$64</f>
        <v>541.31999999999994</v>
      </c>
      <c r="Z9" s="93">
        <f>'Revenue Model'!Z$28*'Model Inputs'!$D$64</f>
        <v>398.16</v>
      </c>
      <c r="AA9" s="93">
        <f>'Revenue Model'!AA$28*'Model Inputs'!$D$64</f>
        <v>435.28000000000003</v>
      </c>
      <c r="AB9" s="93">
        <f>'Revenue Model'!AB$28*'Model Inputs'!$D$64</f>
        <v>472.24</v>
      </c>
      <c r="AC9" s="93">
        <f>'Revenue Model'!AC$28*'Model Inputs'!$D$64</f>
        <v>515.20000000000005</v>
      </c>
      <c r="AD9" s="93">
        <f>'Revenue Model'!AD$28*'Model Inputs'!$D$64</f>
        <v>557.96</v>
      </c>
      <c r="AE9" s="93">
        <f>'Revenue Model'!AE$28*'Model Inputs'!$D$64</f>
        <v>601.68000000000006</v>
      </c>
      <c r="AF9" s="93">
        <f>'Revenue Model'!AF$28*'Model Inputs'!$D$64</f>
        <v>652.24</v>
      </c>
      <c r="AG9" s="93">
        <f>'Revenue Model'!AG$28*'Model Inputs'!$D$64</f>
        <v>702.6</v>
      </c>
      <c r="AH9" s="93">
        <f>'Revenue Model'!AH$28*'Model Inputs'!$D$64</f>
        <v>753.88</v>
      </c>
      <c r="AI9" s="93">
        <f>'Revenue Model'!AI$28*'Model Inputs'!$D$64</f>
        <v>809.96</v>
      </c>
      <c r="AJ9" s="93">
        <f>'Revenue Model'!AJ$28*'Model Inputs'!$D$64</f>
        <v>866.92000000000007</v>
      </c>
      <c r="AK9" s="93">
        <f>'Revenue Model'!AK$28*'Model Inputs'!$D$64</f>
        <v>923.64</v>
      </c>
      <c r="AL9" s="108">
        <f>'Revenue Model'!AL$28*'Model Inputs'!$D$64</f>
        <v>932.28</v>
      </c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</row>
    <row r="10" spans="1:49" ht="14.25" customHeight="1" x14ac:dyDescent="0.45">
      <c r="A10" s="39" t="s">
        <v>300</v>
      </c>
      <c r="B10" s="138">
        <f>'Revenue Model'!B$28*'Model Inputs'!$B$66</f>
        <v>0</v>
      </c>
      <c r="C10" s="138">
        <f>'Revenue Model'!C$28*'Model Inputs'!$B$66</f>
        <v>0</v>
      </c>
      <c r="D10" s="138">
        <f>'Revenue Model'!D$28*'Model Inputs'!$B$66</f>
        <v>0</v>
      </c>
      <c r="E10" s="138">
        <f>'Revenue Model'!E$28*'Model Inputs'!$B$66</f>
        <v>2.42</v>
      </c>
      <c r="F10" s="138">
        <f>'Revenue Model'!F$28*'Model Inputs'!$B$66</f>
        <v>3.86</v>
      </c>
      <c r="G10" s="138">
        <f>'Revenue Model'!G$28*'Model Inputs'!$B$66</f>
        <v>6.0200000000000005</v>
      </c>
      <c r="H10" s="138">
        <f>'Revenue Model'!H$28*'Model Inputs'!$B$66</f>
        <v>8.66</v>
      </c>
      <c r="I10" s="138">
        <f>'Revenue Model'!I$28*'Model Inputs'!$B$66</f>
        <v>11.290000000000001</v>
      </c>
      <c r="J10" s="138">
        <f>'Revenue Model'!J$28*'Model Inputs'!$B$66</f>
        <v>14.1</v>
      </c>
      <c r="K10" s="138">
        <f>'Revenue Model'!K$28*'Model Inputs'!$B$66</f>
        <v>16.899999999999999</v>
      </c>
      <c r="L10" s="138">
        <f>'Revenue Model'!L$28*'Model Inputs'!$B$66</f>
        <v>19.690000000000001</v>
      </c>
      <c r="M10" s="138">
        <f>'Revenue Model'!M$28*'Model Inputs'!$B$66</f>
        <v>22.47</v>
      </c>
      <c r="N10" s="138">
        <f>'Revenue Model'!N$28*'Model Inputs'!$C$66</f>
        <v>20.527999999999999</v>
      </c>
      <c r="O10" s="138">
        <f>'Revenue Model'!O$28*'Model Inputs'!$C$66</f>
        <v>23.272000000000002</v>
      </c>
      <c r="P10" s="138">
        <f>'Revenue Model'!P$28*'Model Inputs'!$C$66</f>
        <v>26.400000000000002</v>
      </c>
      <c r="Q10" s="138">
        <f>'Revenue Model'!Q$28*'Model Inputs'!$C$66</f>
        <v>29.824000000000002</v>
      </c>
      <c r="R10" s="138">
        <f>'Revenue Model'!R$28*'Model Inputs'!$C$66</f>
        <v>33.456000000000003</v>
      </c>
      <c r="S10" s="138">
        <f>'Revenue Model'!S$28*'Model Inputs'!$C$66</f>
        <v>38.04</v>
      </c>
      <c r="T10" s="138">
        <f>'Revenue Model'!T$28*'Model Inputs'!$C$66</f>
        <v>43.032000000000004</v>
      </c>
      <c r="U10" s="138">
        <f>'Revenue Model'!U$28*'Model Inputs'!$C$66</f>
        <v>48</v>
      </c>
      <c r="V10" s="138">
        <f>'Revenue Model'!V$28*'Model Inputs'!$C$66</f>
        <v>53.352000000000004</v>
      </c>
      <c r="W10" s="138">
        <f>'Revenue Model'!W$28*'Model Inputs'!$C$66</f>
        <v>58.896000000000001</v>
      </c>
      <c r="X10" s="138">
        <f>'Revenue Model'!X$28*'Model Inputs'!$C$66</f>
        <v>65.287999999999997</v>
      </c>
      <c r="Y10" s="138">
        <f>'Revenue Model'!Y$28*'Model Inputs'!$C$66</f>
        <v>72.176000000000002</v>
      </c>
      <c r="Z10" s="138">
        <f>'Revenue Model'!Z$28*'Model Inputs'!$D$66</f>
        <v>59.724000000000004</v>
      </c>
      <c r="AA10" s="138">
        <f>'Revenue Model'!AA$28*'Model Inputs'!$D$66</f>
        <v>65.292000000000002</v>
      </c>
      <c r="AB10" s="138">
        <f>'Revenue Model'!AB$28*'Model Inputs'!$D$66</f>
        <v>70.835999999999999</v>
      </c>
      <c r="AC10" s="138">
        <f>'Revenue Model'!AC$28*'Model Inputs'!$D$66</f>
        <v>77.28</v>
      </c>
      <c r="AD10" s="138">
        <f>'Revenue Model'!AD$28*'Model Inputs'!$D$66</f>
        <v>83.694000000000003</v>
      </c>
      <c r="AE10" s="138">
        <f>'Revenue Model'!AE$28*'Model Inputs'!$D$66</f>
        <v>90.251999999999995</v>
      </c>
      <c r="AF10" s="138">
        <f>'Revenue Model'!AF$28*'Model Inputs'!$D$66</f>
        <v>97.835999999999999</v>
      </c>
      <c r="AG10" s="138">
        <f>'Revenue Model'!AG$28*'Model Inputs'!$D$66</f>
        <v>105.39</v>
      </c>
      <c r="AH10" s="138">
        <f>'Revenue Model'!AH$28*'Model Inputs'!$D$66</f>
        <v>113.08200000000001</v>
      </c>
      <c r="AI10" s="138">
        <f>'Revenue Model'!AI$28*'Model Inputs'!$D$66</f>
        <v>121.494</v>
      </c>
      <c r="AJ10" s="138">
        <f>'Revenue Model'!AJ$28*'Model Inputs'!$D$66</f>
        <v>130.03800000000001</v>
      </c>
      <c r="AK10" s="138">
        <f>'Revenue Model'!AK$28*'Model Inputs'!$D$66</f>
        <v>138.54599999999999</v>
      </c>
      <c r="AL10" s="138"/>
    </row>
    <row r="11" spans="1:49" ht="14.25" customHeight="1" x14ac:dyDescent="0.45">
      <c r="A11" s="23" t="s">
        <v>301</v>
      </c>
      <c r="B11" s="139">
        <f>'Revenue Model'!B$31*'Model Inputs'!$B$65</f>
        <v>0</v>
      </c>
      <c r="C11" s="139">
        <f>'Revenue Model'!C$31*'Model Inputs'!$B$65</f>
        <v>0</v>
      </c>
      <c r="D11" s="139">
        <f>'Revenue Model'!D$31*'Model Inputs'!$B$65</f>
        <v>0</v>
      </c>
      <c r="E11" s="139">
        <f>'Revenue Model'!E$31*'Model Inputs'!$B$65</f>
        <v>207.35000000000002</v>
      </c>
      <c r="F11" s="139">
        <f>'Revenue Model'!F$31*'Model Inputs'!$B$65</f>
        <v>310.57560000000001</v>
      </c>
      <c r="G11" s="139">
        <f>'Revenue Model'!G$31*'Model Inputs'!$B$65</f>
        <v>519.09521100917425</v>
      </c>
      <c r="H11" s="139">
        <f>'Revenue Model'!H$31*'Model Inputs'!$B$65</f>
        <v>738.12500751879702</v>
      </c>
      <c r="I11" s="139">
        <f>'Revenue Model'!I$31*'Model Inputs'!$B$65</f>
        <v>962.28999248120306</v>
      </c>
      <c r="J11" s="139">
        <f>'Revenue Model'!J$31*'Model Inputs'!$B$65</f>
        <v>1200.679090909091</v>
      </c>
      <c r="K11" s="139">
        <f>'Revenue Model'!K$31*'Model Inputs'!$B$65</f>
        <v>1439.1118181818183</v>
      </c>
      <c r="L11" s="139">
        <f>'Revenue Model'!L$31*'Model Inputs'!$B$65</f>
        <v>1676.693</v>
      </c>
      <c r="M11" s="139">
        <f>'Revenue Model'!M$31*'Model Inputs'!$B$65</f>
        <v>1913.4226363636365</v>
      </c>
      <c r="N11" s="139">
        <f>'Revenue Model'!N$31*'Model Inputs'!$B$65</f>
        <v>2295.9441463414637</v>
      </c>
      <c r="O11" s="139">
        <f>'Revenue Model'!O$31*'Model Inputs'!$B$65</f>
        <v>2591.7706657223798</v>
      </c>
      <c r="P11" s="139">
        <f>'Revenue Model'!P$31*'Model Inputs'!$B$65</f>
        <v>2940.1317280453259</v>
      </c>
      <c r="Q11" s="139">
        <f>'Revenue Model'!Q$31*'Model Inputs'!$B$65</f>
        <v>3291.7477237851667</v>
      </c>
      <c r="R11" s="139">
        <f>'Revenue Model'!R$31*'Model Inputs'!$B$65</f>
        <v>3668.7318615751792</v>
      </c>
      <c r="S11" s="139">
        <f>'Revenue Model'!S$31*'Model Inputs'!$B$65</f>
        <v>4164.9918367346936</v>
      </c>
      <c r="T11" s="139">
        <f>'Revenue Model'!T$31*'Model Inputs'!$B$65</f>
        <v>4681.1663812154702</v>
      </c>
      <c r="U11" s="139">
        <f>'Revenue Model'!U$31*'Model Inputs'!$B$65</f>
        <v>5221.6022099447518</v>
      </c>
      <c r="V11" s="139">
        <f>'Revenue Model'!V$31*'Model Inputs'!$B$65</f>
        <v>5803.8108563535916</v>
      </c>
      <c r="W11" s="139">
        <f>'Revenue Model'!W$31*'Model Inputs'!$B$65</f>
        <v>6386.2121052631583</v>
      </c>
      <c r="X11" s="139">
        <f>'Revenue Model'!X$31*'Model Inputs'!$B$65</f>
        <v>7180.3559439528035</v>
      </c>
      <c r="Y11" s="139">
        <f>'Revenue Model'!Y$31*'Model Inputs'!$B$65</f>
        <v>8000.3555107526881</v>
      </c>
      <c r="Z11" s="139">
        <f>'Revenue Model'!Z$31*'Model Inputs'!$B$65</f>
        <v>8964.1209228944244</v>
      </c>
      <c r="AA11" s="139">
        <f>'Revenue Model'!AA$31*'Model Inputs'!$B$65</f>
        <v>9797.1159596678535</v>
      </c>
      <c r="AB11" s="139">
        <f>'Revenue Model'!AB$31*'Model Inputs'!$B$65</f>
        <v>10626.52050059312</v>
      </c>
      <c r="AC11" s="139">
        <f>'Revenue Model'!AC$31*'Model Inputs'!$B$65</f>
        <v>11596.750401836969</v>
      </c>
      <c r="AD11" s="139">
        <f>'Revenue Model'!AD$31*'Model Inputs'!$B$65</f>
        <v>12554.364529276692</v>
      </c>
      <c r="AE11" s="139">
        <f>'Revenue Model'!AE$31*'Model Inputs'!$B$65</f>
        <v>13508.229483870968</v>
      </c>
      <c r="AF11" s="139">
        <f>'Revenue Model'!AF$31*'Model Inputs'!$B$65</f>
        <v>14716.075870967743</v>
      </c>
      <c r="AG11" s="139">
        <f>'Revenue Model'!AG$31*'Model Inputs'!$B$65</f>
        <v>15841.743709677419</v>
      </c>
      <c r="AH11" s="139">
        <f>'Revenue Model'!AH$31*'Model Inputs'!$B$65</f>
        <v>16958.430827400214</v>
      </c>
      <c r="AI11" s="139">
        <f>'Revenue Model'!AI$31*'Model Inputs'!$B$65</f>
        <v>18275.769373247032</v>
      </c>
      <c r="AJ11" s="139">
        <f>'Revenue Model'!AJ$31*'Model Inputs'!$B$65</f>
        <v>19514.789106806285</v>
      </c>
      <c r="AK11" s="139">
        <f>'Revenue Model'!AK$31*'Model Inputs'!$B$65</f>
        <v>20778.203349738222</v>
      </c>
      <c r="AL11" s="140">
        <f>'Revenue Model'!AL$31*'Model Inputs'!$D$65</f>
        <v>19601.187000000002</v>
      </c>
    </row>
    <row r="12" spans="1:49" ht="14.25" customHeight="1" x14ac:dyDescent="0.45">
      <c r="A12" s="144" t="s">
        <v>302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6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</row>
    <row r="13" spans="1:49" ht="14.25" customHeight="1" x14ac:dyDescent="0.45">
      <c r="A13" s="25" t="s">
        <v>303</v>
      </c>
      <c r="B13" s="94">
        <v>0</v>
      </c>
      <c r="C13" s="94">
        <v>0</v>
      </c>
      <c r="D13" s="94">
        <v>0</v>
      </c>
      <c r="E13" s="94">
        <f>'Model Inputs'!$B$69</f>
        <v>1500</v>
      </c>
      <c r="F13" s="94">
        <f>'Model Inputs'!$B$69</f>
        <v>1500</v>
      </c>
      <c r="G13" s="94">
        <f>'Model Inputs'!$B$69</f>
        <v>1500</v>
      </c>
      <c r="H13" s="94">
        <f>'Model Inputs'!$B$69</f>
        <v>1500</v>
      </c>
      <c r="I13" s="94">
        <f>'Model Inputs'!$B$69</f>
        <v>1500</v>
      </c>
      <c r="J13" s="94">
        <f>'Model Inputs'!$B$69</f>
        <v>1500</v>
      </c>
      <c r="K13" s="94">
        <f>'Model Inputs'!$B$69</f>
        <v>1500</v>
      </c>
      <c r="L13" s="94">
        <f>'Model Inputs'!$B$69</f>
        <v>1500</v>
      </c>
      <c r="M13" s="94">
        <f>'Model Inputs'!$B$69</f>
        <v>1500</v>
      </c>
      <c r="N13" s="94">
        <f>'Model Inputs'!$C$69</f>
        <v>3000</v>
      </c>
      <c r="O13" s="94">
        <f>'Model Inputs'!$C$69</f>
        <v>3000</v>
      </c>
      <c r="P13" s="94">
        <f>'Model Inputs'!$C$69</f>
        <v>3000</v>
      </c>
      <c r="Q13" s="94">
        <f>'Model Inputs'!$C$69</f>
        <v>3000</v>
      </c>
      <c r="R13" s="94">
        <f>'Model Inputs'!$C$69</f>
        <v>3000</v>
      </c>
      <c r="S13" s="94">
        <f>'Model Inputs'!$C$69</f>
        <v>3000</v>
      </c>
      <c r="T13" s="94">
        <f>'Model Inputs'!$C$69</f>
        <v>3000</v>
      </c>
      <c r="U13" s="94">
        <f>'Model Inputs'!$C$69</f>
        <v>3000</v>
      </c>
      <c r="V13" s="94">
        <f>'Model Inputs'!$C$69</f>
        <v>3000</v>
      </c>
      <c r="W13" s="94">
        <f>'Model Inputs'!$C$69</f>
        <v>3000</v>
      </c>
      <c r="X13" s="94">
        <f>'Model Inputs'!$C$69</f>
        <v>3000</v>
      </c>
      <c r="Y13" s="94">
        <f>'Model Inputs'!$C$69</f>
        <v>3000</v>
      </c>
      <c r="Z13" s="94">
        <f>'Model Inputs'!$D$69</f>
        <v>5000</v>
      </c>
      <c r="AA13" s="94">
        <f>'Model Inputs'!$D$69</f>
        <v>5000</v>
      </c>
      <c r="AB13" s="94">
        <f>'Model Inputs'!$D$69</f>
        <v>5000</v>
      </c>
      <c r="AC13" s="94">
        <f>'Model Inputs'!$D$69</f>
        <v>5000</v>
      </c>
      <c r="AD13" s="94">
        <f>'Model Inputs'!$D$69</f>
        <v>5000</v>
      </c>
      <c r="AE13" s="94">
        <f>'Model Inputs'!$D$69</f>
        <v>5000</v>
      </c>
      <c r="AF13" s="94">
        <f>'Model Inputs'!$D$69</f>
        <v>5000</v>
      </c>
      <c r="AG13" s="94">
        <f>'Model Inputs'!$D$69</f>
        <v>5000</v>
      </c>
      <c r="AH13" s="94">
        <f>'Model Inputs'!$D$69</f>
        <v>5000</v>
      </c>
      <c r="AI13" s="94">
        <f>'Model Inputs'!$D$69</f>
        <v>5000</v>
      </c>
      <c r="AJ13" s="94">
        <f>'Model Inputs'!$D$69</f>
        <v>5000</v>
      </c>
      <c r="AK13" s="94">
        <f>'Model Inputs'!$D$69</f>
        <v>5000</v>
      </c>
      <c r="AL13" s="27"/>
    </row>
    <row r="14" spans="1:49" ht="14.25" customHeight="1" x14ac:dyDescent="0.45">
      <c r="A14" s="23" t="s">
        <v>304</v>
      </c>
      <c r="B14" s="93">
        <v>0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f>'Model Inputs'!$C$70</f>
        <v>249</v>
      </c>
      <c r="R14" s="93">
        <f>'Model Inputs'!$C$70</f>
        <v>249</v>
      </c>
      <c r="S14" s="93">
        <f>'Model Inputs'!$C$70</f>
        <v>249</v>
      </c>
      <c r="T14" s="93">
        <f>'Model Inputs'!$C$70</f>
        <v>249</v>
      </c>
      <c r="U14" s="93">
        <f>'Model Inputs'!$C$70</f>
        <v>249</v>
      </c>
      <c r="V14" s="93">
        <f>'Model Inputs'!$C$70</f>
        <v>249</v>
      </c>
      <c r="W14" s="93">
        <f>'Model Inputs'!$C$70</f>
        <v>249</v>
      </c>
      <c r="X14" s="93">
        <f>'Model Inputs'!$C$70</f>
        <v>249</v>
      </c>
      <c r="Y14" s="93">
        <f>'Model Inputs'!$C$70</f>
        <v>249</v>
      </c>
      <c r="Z14" s="93">
        <f>'Model Inputs'!$D$70</f>
        <v>499</v>
      </c>
      <c r="AA14" s="93">
        <f>'Model Inputs'!$D$70</f>
        <v>499</v>
      </c>
      <c r="AB14" s="93">
        <f>'Model Inputs'!$D$70</f>
        <v>499</v>
      </c>
      <c r="AC14" s="93">
        <f>'Model Inputs'!$D$70</f>
        <v>499</v>
      </c>
      <c r="AD14" s="93">
        <f>'Model Inputs'!$D$70</f>
        <v>499</v>
      </c>
      <c r="AE14" s="93">
        <f>'Model Inputs'!$D$70</f>
        <v>499</v>
      </c>
      <c r="AF14" s="93">
        <f>'Model Inputs'!$D$70</f>
        <v>499</v>
      </c>
      <c r="AG14" s="93">
        <f>'Model Inputs'!$D$70</f>
        <v>499</v>
      </c>
      <c r="AH14" s="93">
        <f>'Model Inputs'!$D$70</f>
        <v>499</v>
      </c>
      <c r="AI14" s="93">
        <f>'Model Inputs'!$D$70</f>
        <v>499</v>
      </c>
      <c r="AJ14" s="93">
        <f>'Model Inputs'!$D$70</f>
        <v>499</v>
      </c>
      <c r="AK14" s="93">
        <f>'Model Inputs'!$D$70</f>
        <v>499</v>
      </c>
      <c r="AL14" s="108">
        <f>'Model Inputs'!$D$70</f>
        <v>499</v>
      </c>
    </row>
    <row r="15" spans="1:49" ht="14.25" customHeight="1" x14ac:dyDescent="0.45">
      <c r="A15" s="25" t="s">
        <v>305</v>
      </c>
      <c r="B15" s="94">
        <v>0</v>
      </c>
      <c r="C15" s="94">
        <v>0</v>
      </c>
      <c r="D15" s="94">
        <v>0</v>
      </c>
      <c r="E15" s="94">
        <f>'Model Inputs'!$B$71</f>
        <v>0</v>
      </c>
      <c r="F15" s="94">
        <f>'Model Inputs'!$B$71</f>
        <v>0</v>
      </c>
      <c r="G15" s="94">
        <f>'Model Inputs'!$B$71</f>
        <v>0</v>
      </c>
      <c r="H15" s="94">
        <f>'Model Inputs'!$B$71</f>
        <v>0</v>
      </c>
      <c r="I15" s="94">
        <f>'Model Inputs'!$B$71</f>
        <v>0</v>
      </c>
      <c r="J15" s="94">
        <f>'Model Inputs'!$B$71</f>
        <v>0</v>
      </c>
      <c r="K15" s="94">
        <f>'Model Inputs'!$B$71</f>
        <v>0</v>
      </c>
      <c r="L15" s="94">
        <f>'Model Inputs'!$B$71</f>
        <v>0</v>
      </c>
      <c r="M15" s="94">
        <f>'Model Inputs'!$B$71</f>
        <v>0</v>
      </c>
      <c r="N15" s="94">
        <f>'Model Inputs'!$C$71</f>
        <v>350</v>
      </c>
      <c r="O15" s="94">
        <f>'Model Inputs'!$C$71</f>
        <v>350</v>
      </c>
      <c r="P15" s="94">
        <f>'Model Inputs'!$C$71</f>
        <v>350</v>
      </c>
      <c r="Q15" s="94">
        <f>'Model Inputs'!$C$71</f>
        <v>350</v>
      </c>
      <c r="R15" s="94">
        <f>'Model Inputs'!$C$71</f>
        <v>350</v>
      </c>
      <c r="S15" s="94">
        <f>'Model Inputs'!$C$71</f>
        <v>350</v>
      </c>
      <c r="T15" s="94">
        <f>'Model Inputs'!$C$71</f>
        <v>350</v>
      </c>
      <c r="U15" s="94">
        <f>'Model Inputs'!$C$71</f>
        <v>350</v>
      </c>
      <c r="V15" s="94">
        <f>'Model Inputs'!$C$71</f>
        <v>350</v>
      </c>
      <c r="W15" s="94">
        <f>'Model Inputs'!$C$71</f>
        <v>350</v>
      </c>
      <c r="X15" s="94">
        <f>'Model Inputs'!$C$71</f>
        <v>350</v>
      </c>
      <c r="Y15" s="94">
        <f>'Model Inputs'!$C$71</f>
        <v>350</v>
      </c>
      <c r="Z15" s="94">
        <f>'Model Inputs'!$D$71</f>
        <v>600</v>
      </c>
      <c r="AA15" s="94">
        <f>'Model Inputs'!$D$71</f>
        <v>600</v>
      </c>
      <c r="AB15" s="94">
        <f>'Model Inputs'!$D$71</f>
        <v>600</v>
      </c>
      <c r="AC15" s="94">
        <f>'Model Inputs'!$D$71</f>
        <v>600</v>
      </c>
      <c r="AD15" s="94">
        <f>'Model Inputs'!$D$71</f>
        <v>600</v>
      </c>
      <c r="AE15" s="94">
        <f>'Model Inputs'!$D$71</f>
        <v>600</v>
      </c>
      <c r="AF15" s="94">
        <f>'Model Inputs'!$D$71</f>
        <v>600</v>
      </c>
      <c r="AG15" s="94">
        <f>'Model Inputs'!$D$71</f>
        <v>600</v>
      </c>
      <c r="AH15" s="94">
        <f>'Model Inputs'!$D$71</f>
        <v>600</v>
      </c>
      <c r="AI15" s="94">
        <f>'Model Inputs'!$D$71</f>
        <v>600</v>
      </c>
      <c r="AJ15" s="94">
        <f>'Model Inputs'!$D$71</f>
        <v>600</v>
      </c>
      <c r="AK15" s="94">
        <f>'Model Inputs'!$D$71</f>
        <v>600</v>
      </c>
      <c r="AL15" s="27"/>
    </row>
    <row r="16" spans="1:49" ht="14.25" customHeight="1" x14ac:dyDescent="0.45">
      <c r="A16" s="37" t="s">
        <v>306</v>
      </c>
      <c r="B16" s="93">
        <v>0</v>
      </c>
      <c r="C16" s="93">
        <v>0</v>
      </c>
      <c r="D16" s="93">
        <v>0</v>
      </c>
      <c r="E16" s="93">
        <f>'Model Inputs'!$B$73</f>
        <v>0</v>
      </c>
      <c r="F16" s="93">
        <f>'Model Inputs'!$B$73</f>
        <v>0</v>
      </c>
      <c r="G16" s="93">
        <f>'Model Inputs'!$B$73</f>
        <v>0</v>
      </c>
      <c r="H16" s="93">
        <f>'Model Inputs'!$B$73</f>
        <v>0</v>
      </c>
      <c r="I16" s="93">
        <f>'Model Inputs'!$B$73</f>
        <v>0</v>
      </c>
      <c r="J16" s="93">
        <f>'Model Inputs'!$B$73</f>
        <v>0</v>
      </c>
      <c r="K16" s="93">
        <f>'Model Inputs'!$B$73</f>
        <v>0</v>
      </c>
      <c r="L16" s="93">
        <f>'Model Inputs'!$B$73</f>
        <v>0</v>
      </c>
      <c r="M16" s="93">
        <f>'Model Inputs'!$B$73</f>
        <v>0</v>
      </c>
      <c r="N16" s="93">
        <f>'Model Inputs'!$C$73</f>
        <v>50</v>
      </c>
      <c r="O16" s="93">
        <f>'Model Inputs'!$C$73</f>
        <v>50</v>
      </c>
      <c r="P16" s="93">
        <f>'Model Inputs'!$C$73</f>
        <v>50</v>
      </c>
      <c r="Q16" s="93">
        <f>'Model Inputs'!$C$73</f>
        <v>50</v>
      </c>
      <c r="R16" s="93">
        <f>'Model Inputs'!$C$73</f>
        <v>50</v>
      </c>
      <c r="S16" s="93">
        <f>'Model Inputs'!$C$73</f>
        <v>50</v>
      </c>
      <c r="T16" s="93">
        <f>'Model Inputs'!$C$73</f>
        <v>50</v>
      </c>
      <c r="U16" s="93">
        <f>'Model Inputs'!$C$73</f>
        <v>50</v>
      </c>
      <c r="V16" s="93">
        <f>'Model Inputs'!$C$73</f>
        <v>50</v>
      </c>
      <c r="W16" s="93">
        <f>'Model Inputs'!$C$73</f>
        <v>50</v>
      </c>
      <c r="X16" s="93">
        <f>'Model Inputs'!$C$73</f>
        <v>50</v>
      </c>
      <c r="Y16" s="93">
        <f>'Model Inputs'!$C$73</f>
        <v>50</v>
      </c>
      <c r="Z16" s="93">
        <f>'Model Inputs'!$D$73</f>
        <v>90</v>
      </c>
      <c r="AA16" s="93">
        <f>'Model Inputs'!$D$73</f>
        <v>90</v>
      </c>
      <c r="AB16" s="93">
        <f>'Model Inputs'!$D$73</f>
        <v>90</v>
      </c>
      <c r="AC16" s="93">
        <f>'Model Inputs'!$D$73</f>
        <v>90</v>
      </c>
      <c r="AD16" s="93">
        <f>'Model Inputs'!$D$73</f>
        <v>90</v>
      </c>
      <c r="AE16" s="93">
        <f>'Model Inputs'!$D$73</f>
        <v>90</v>
      </c>
      <c r="AF16" s="93">
        <f>'Model Inputs'!$D$73</f>
        <v>90</v>
      </c>
      <c r="AG16" s="93">
        <f>'Model Inputs'!$D$73</f>
        <v>90</v>
      </c>
      <c r="AH16" s="93">
        <f>'Model Inputs'!$D$73</f>
        <v>90</v>
      </c>
      <c r="AI16" s="93">
        <f>'Model Inputs'!$D$73</f>
        <v>90</v>
      </c>
      <c r="AJ16" s="93">
        <f>'Model Inputs'!$D$73</f>
        <v>90</v>
      </c>
      <c r="AK16" s="93">
        <f>'Model Inputs'!$D$73</f>
        <v>90</v>
      </c>
      <c r="AL16" s="37">
        <f>'Model Inputs'!$D$73</f>
        <v>90</v>
      </c>
    </row>
    <row r="17" spans="1:49" ht="14.25" customHeight="1" x14ac:dyDescent="0.45">
      <c r="A17" s="60" t="s">
        <v>307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83"/>
    </row>
    <row r="18" spans="1:49" ht="14.25" customHeight="1" x14ac:dyDescent="0.45">
      <c r="A18" s="25" t="s">
        <v>308</v>
      </c>
      <c r="B18" s="94">
        <v>0</v>
      </c>
      <c r="C18" s="94">
        <v>0</v>
      </c>
      <c r="D18" s="94">
        <v>0</v>
      </c>
      <c r="E18" s="94">
        <f>'Model Inputs'!$B$76</f>
        <v>200</v>
      </c>
      <c r="F18" s="94">
        <f>'Model Inputs'!$B$76</f>
        <v>200</v>
      </c>
      <c r="G18" s="94">
        <f>'Model Inputs'!$B$76</f>
        <v>200</v>
      </c>
      <c r="H18" s="94">
        <f>'Model Inputs'!$B$76</f>
        <v>200</v>
      </c>
      <c r="I18" s="94">
        <f>'Model Inputs'!$B$76</f>
        <v>200</v>
      </c>
      <c r="J18" s="94">
        <f>'Model Inputs'!$B$76</f>
        <v>200</v>
      </c>
      <c r="K18" s="94">
        <f>'Model Inputs'!$B$76</f>
        <v>200</v>
      </c>
      <c r="L18" s="94">
        <f>'Model Inputs'!$B$76</f>
        <v>200</v>
      </c>
      <c r="M18" s="94">
        <f>'Model Inputs'!$B$76</f>
        <v>200</v>
      </c>
      <c r="N18" s="94">
        <f>'Model Inputs'!$C$76</f>
        <v>350</v>
      </c>
      <c r="O18" s="94">
        <f>'Model Inputs'!$C$76</f>
        <v>350</v>
      </c>
      <c r="P18" s="94">
        <f>'Model Inputs'!$C$76</f>
        <v>350</v>
      </c>
      <c r="Q18" s="94">
        <f>'Model Inputs'!$C$76</f>
        <v>350</v>
      </c>
      <c r="R18" s="94">
        <f>'Model Inputs'!$C$76</f>
        <v>350</v>
      </c>
      <c r="S18" s="94">
        <f>'Model Inputs'!$C$76</f>
        <v>350</v>
      </c>
      <c r="T18" s="94">
        <f>'Model Inputs'!$C$76</f>
        <v>350</v>
      </c>
      <c r="U18" s="94">
        <f>'Model Inputs'!$C$76</f>
        <v>350</v>
      </c>
      <c r="V18" s="94">
        <f>'Model Inputs'!$C$76</f>
        <v>350</v>
      </c>
      <c r="W18" s="94">
        <f>'Model Inputs'!$C$76</f>
        <v>350</v>
      </c>
      <c r="X18" s="94">
        <f>'Model Inputs'!$C$76</f>
        <v>350</v>
      </c>
      <c r="Y18" s="94">
        <f>'Model Inputs'!$C$76</f>
        <v>350</v>
      </c>
      <c r="Z18" s="94">
        <f>'Model Inputs'!$D$76</f>
        <v>500</v>
      </c>
      <c r="AA18" s="94">
        <f>'Model Inputs'!$D$76</f>
        <v>500</v>
      </c>
      <c r="AB18" s="94">
        <f>'Model Inputs'!$D$76</f>
        <v>500</v>
      </c>
      <c r="AC18" s="94">
        <f>'Model Inputs'!$D$76</f>
        <v>500</v>
      </c>
      <c r="AD18" s="94">
        <f>'Model Inputs'!$D$76</f>
        <v>500</v>
      </c>
      <c r="AE18" s="94">
        <f>'Model Inputs'!$D$76</f>
        <v>500</v>
      </c>
      <c r="AF18" s="94">
        <f>'Model Inputs'!$D$76</f>
        <v>500</v>
      </c>
      <c r="AG18" s="94">
        <f>'Model Inputs'!$D$76</f>
        <v>500</v>
      </c>
      <c r="AH18" s="94">
        <f>'Model Inputs'!$D$76</f>
        <v>500</v>
      </c>
      <c r="AI18" s="94">
        <f>'Model Inputs'!$D$76</f>
        <v>500</v>
      </c>
      <c r="AJ18" s="94">
        <f>'Model Inputs'!$D$76</f>
        <v>500</v>
      </c>
      <c r="AK18" s="94">
        <f>'Model Inputs'!$D$76</f>
        <v>500</v>
      </c>
      <c r="AL18" s="27"/>
    </row>
    <row r="19" spans="1:49" ht="14.25" customHeight="1" x14ac:dyDescent="0.45">
      <c r="A19" s="23" t="s">
        <v>309</v>
      </c>
      <c r="B19" s="93">
        <v>0</v>
      </c>
      <c r="C19" s="93">
        <v>0</v>
      </c>
      <c r="D19" s="93">
        <v>0</v>
      </c>
      <c r="E19" s="93">
        <f>'Model Inputs'!$B$77</f>
        <v>200</v>
      </c>
      <c r="F19" s="93">
        <f>'Model Inputs'!$B$77</f>
        <v>200</v>
      </c>
      <c r="G19" s="93">
        <f>'Model Inputs'!$B$77</f>
        <v>200</v>
      </c>
      <c r="H19" s="93">
        <f>'Model Inputs'!$B$77</f>
        <v>200</v>
      </c>
      <c r="I19" s="93">
        <f>'Model Inputs'!$B$77</f>
        <v>200</v>
      </c>
      <c r="J19" s="93">
        <f>'Model Inputs'!$B$77</f>
        <v>200</v>
      </c>
      <c r="K19" s="93">
        <f>'Model Inputs'!$B$77</f>
        <v>200</v>
      </c>
      <c r="L19" s="93">
        <f>'Model Inputs'!$B$77</f>
        <v>200</v>
      </c>
      <c r="M19" s="93">
        <f>'Model Inputs'!$B$77</f>
        <v>200</v>
      </c>
      <c r="N19" s="93">
        <f>'Model Inputs'!$C$77</f>
        <v>300</v>
      </c>
      <c r="O19" s="93">
        <f>'Model Inputs'!$C$77</f>
        <v>300</v>
      </c>
      <c r="P19" s="93">
        <f>'Model Inputs'!$C$77</f>
        <v>300</v>
      </c>
      <c r="Q19" s="93">
        <f>'Model Inputs'!$C$77</f>
        <v>300</v>
      </c>
      <c r="R19" s="93">
        <f>'Model Inputs'!$C$77</f>
        <v>300</v>
      </c>
      <c r="S19" s="93">
        <f>'Model Inputs'!$C$77</f>
        <v>300</v>
      </c>
      <c r="T19" s="93">
        <f>'Model Inputs'!$C$77</f>
        <v>300</v>
      </c>
      <c r="U19" s="93">
        <f>'Model Inputs'!$C$77</f>
        <v>300</v>
      </c>
      <c r="V19" s="93">
        <f>'Model Inputs'!$C$77</f>
        <v>300</v>
      </c>
      <c r="W19" s="93">
        <f>'Model Inputs'!$C$77</f>
        <v>300</v>
      </c>
      <c r="X19" s="93">
        <f>'Model Inputs'!$C$77</f>
        <v>300</v>
      </c>
      <c r="Y19" s="93">
        <f>'Model Inputs'!$C$77</f>
        <v>300</v>
      </c>
      <c r="Z19" s="93">
        <f>'Model Inputs'!$D$77</f>
        <v>400</v>
      </c>
      <c r="AA19" s="93">
        <f>'Model Inputs'!$D$77</f>
        <v>400</v>
      </c>
      <c r="AB19" s="93">
        <f>'Model Inputs'!$D$77</f>
        <v>400</v>
      </c>
      <c r="AC19" s="93">
        <f>'Model Inputs'!$D$77</f>
        <v>400</v>
      </c>
      <c r="AD19" s="93">
        <f>'Model Inputs'!$D$77</f>
        <v>400</v>
      </c>
      <c r="AE19" s="93">
        <f>'Model Inputs'!$D$77</f>
        <v>400</v>
      </c>
      <c r="AF19" s="93">
        <f>'Model Inputs'!$D$77</f>
        <v>400</v>
      </c>
      <c r="AG19" s="93">
        <f>'Model Inputs'!$D$77</f>
        <v>400</v>
      </c>
      <c r="AH19" s="93">
        <f>'Model Inputs'!$D$77</f>
        <v>400</v>
      </c>
      <c r="AI19" s="93">
        <f>'Model Inputs'!$D$77</f>
        <v>400</v>
      </c>
      <c r="AJ19" s="93">
        <f>'Model Inputs'!$D$77</f>
        <v>400</v>
      </c>
      <c r="AK19" s="93">
        <f>'Model Inputs'!$D$77</f>
        <v>400</v>
      </c>
      <c r="AL19" s="108"/>
    </row>
    <row r="20" spans="1:49" ht="14.25" customHeight="1" x14ac:dyDescent="0.45">
      <c r="A20" s="131" t="s">
        <v>45</v>
      </c>
      <c r="B20" s="141">
        <f t="shared" ref="B20:AK20" si="0">SUM(B5:B11)+SUM(B13:B16)+SUM(B18:B19)</f>
        <v>0</v>
      </c>
      <c r="C20" s="141">
        <f t="shared" si="0"/>
        <v>0</v>
      </c>
      <c r="D20" s="141">
        <f t="shared" si="0"/>
        <v>0</v>
      </c>
      <c r="E20" s="141">
        <f t="shared" si="0"/>
        <v>3193.93</v>
      </c>
      <c r="F20" s="141">
        <f t="shared" si="0"/>
        <v>3943.7156</v>
      </c>
      <c r="G20" s="141">
        <f t="shared" si="0"/>
        <v>5122.0752110091744</v>
      </c>
      <c r="H20" s="141">
        <f t="shared" si="0"/>
        <v>6526.4650075187974</v>
      </c>
      <c r="I20" s="141">
        <f t="shared" si="0"/>
        <v>7931.4999924812018</v>
      </c>
      <c r="J20" s="141">
        <f t="shared" si="0"/>
        <v>9431.5790909090902</v>
      </c>
      <c r="K20" s="141">
        <f t="shared" si="0"/>
        <v>10927.211818181819</v>
      </c>
      <c r="L20" s="141">
        <f t="shared" si="0"/>
        <v>12417.502999999999</v>
      </c>
      <c r="M20" s="141">
        <f t="shared" si="0"/>
        <v>13902.452636363636</v>
      </c>
      <c r="N20" s="141">
        <f t="shared" si="0"/>
        <v>15321.812146341465</v>
      </c>
      <c r="O20" s="141">
        <f t="shared" si="0"/>
        <v>16817.452665722383</v>
      </c>
      <c r="P20" s="141">
        <f t="shared" si="0"/>
        <v>18533.531728045324</v>
      </c>
      <c r="Q20" s="141">
        <f t="shared" si="0"/>
        <v>20631.291723785169</v>
      </c>
      <c r="R20" s="141">
        <f t="shared" si="0"/>
        <v>22596.367861575181</v>
      </c>
      <c r="S20" s="141">
        <f t="shared" si="0"/>
        <v>25096.981836734696</v>
      </c>
      <c r="T20" s="141">
        <f t="shared" si="0"/>
        <v>27795.908381215471</v>
      </c>
      <c r="U20" s="141">
        <f t="shared" si="0"/>
        <v>30508.602209944751</v>
      </c>
      <c r="V20" s="141">
        <f t="shared" si="0"/>
        <v>33430.97285635359</v>
      </c>
      <c r="W20" s="141">
        <f t="shared" si="0"/>
        <v>36437.488105263161</v>
      </c>
      <c r="X20" s="141">
        <f t="shared" si="0"/>
        <v>40026.533943952803</v>
      </c>
      <c r="Y20" s="141">
        <f t="shared" si="0"/>
        <v>43858.311510752683</v>
      </c>
      <c r="Z20" s="141">
        <f t="shared" si="0"/>
        <v>42291.864922894427</v>
      </c>
      <c r="AA20" s="141">
        <f t="shared" si="0"/>
        <v>45571.067959667853</v>
      </c>
      <c r="AB20" s="141">
        <f t="shared" si="0"/>
        <v>48836.136500593122</v>
      </c>
      <c r="AC20" s="141">
        <f t="shared" si="0"/>
        <v>52637.430401836958</v>
      </c>
      <c r="AD20" s="141">
        <f t="shared" si="0"/>
        <v>56412.928529276702</v>
      </c>
      <c r="AE20" s="141">
        <f t="shared" si="0"/>
        <v>60247.941483870964</v>
      </c>
      <c r="AF20" s="141">
        <f t="shared" si="0"/>
        <v>64787.691870967756</v>
      </c>
      <c r="AG20" s="141">
        <f t="shared" si="0"/>
        <v>69232.083709677419</v>
      </c>
      <c r="AH20" s="141">
        <f t="shared" si="0"/>
        <v>73728.122827400221</v>
      </c>
      <c r="AI20" s="141">
        <f t="shared" si="0"/>
        <v>78741.133373247038</v>
      </c>
      <c r="AJ20" s="141">
        <f t="shared" si="0"/>
        <v>83733.81710680628</v>
      </c>
      <c r="AK20" s="141">
        <f t="shared" si="0"/>
        <v>88735.079349738226</v>
      </c>
      <c r="AL20" s="142"/>
    </row>
    <row r="21" spans="1:49" ht="14.25" customHeight="1" x14ac:dyDescent="0.45">
      <c r="A21" s="60" t="s">
        <v>310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86"/>
    </row>
    <row r="22" spans="1:49" x14ac:dyDescent="0.45">
      <c r="A22" s="25" t="s">
        <v>311</v>
      </c>
      <c r="B22" s="27">
        <f>'Revenue Model'!B$31-B20</f>
        <v>0</v>
      </c>
      <c r="C22" s="27">
        <f>'Revenue Model'!C$31-C20</f>
        <v>0</v>
      </c>
      <c r="D22" s="27">
        <f>'Revenue Model'!D$31-D20</f>
        <v>0</v>
      </c>
      <c r="E22" s="27">
        <f>'Revenue Model'!E$31-E20</f>
        <v>3956.07</v>
      </c>
      <c r="F22" s="27">
        <f>'Revenue Model'!F$31-F20</f>
        <v>6765.7878482758624</v>
      </c>
      <c r="G22" s="27">
        <f>'Revenue Model'!G$31-G20</f>
        <v>12777.759651376145</v>
      </c>
      <c r="H22" s="27">
        <f>'Revenue Model'!H$31-H20</f>
        <v>18926.121458646616</v>
      </c>
      <c r="I22" s="27">
        <f>'Revenue Model'!I$31-I20</f>
        <v>25250.913541353388</v>
      </c>
      <c r="J22" s="27">
        <f>'Revenue Model'!J$31-J20</f>
        <v>31971.148181818182</v>
      </c>
      <c r="K22" s="27">
        <f>'Revenue Model'!K$31-K20</f>
        <v>38697.333636363634</v>
      </c>
      <c r="L22" s="27">
        <f>'Revenue Model'!L$31-L20</f>
        <v>45399.497000000003</v>
      </c>
      <c r="M22" s="27">
        <f>'Revenue Model'!M$31-M20</f>
        <v>52077.638272727272</v>
      </c>
      <c r="N22" s="27">
        <f>'Revenue Model'!N$31-N20</f>
        <v>63848.675658536587</v>
      </c>
      <c r="O22" s="27">
        <f>'Revenue Model'!O$31-O20</f>
        <v>72553.949600566557</v>
      </c>
      <c r="P22" s="27">
        <f>'Revenue Model'!P$31-P20</f>
        <v>82850.320963172795</v>
      </c>
      <c r="Q22" s="27">
        <f>'Revenue Model'!Q$31-Q20</f>
        <v>92877.250475703331</v>
      </c>
      <c r="R22" s="27">
        <f>'Revenue Model'!R$31-R20</f>
        <v>103911.62736515513</v>
      </c>
      <c r="S22" s="27">
        <f>'Revenue Model'!S$31-S20</f>
        <v>118523.42632653061</v>
      </c>
      <c r="T22" s="27">
        <f>'Revenue Model'!T$31-T20</f>
        <v>133623.62200552487</v>
      </c>
      <c r="U22" s="27">
        <f>'Revenue Model'!U$31-U20</f>
        <v>149546.64640883979</v>
      </c>
      <c r="V22" s="27">
        <f>'Revenue Model'!V$31-V20</f>
        <v>166700.43598342541</v>
      </c>
      <c r="W22" s="27">
        <f>'Revenue Model'!W$31-W20</f>
        <v>183776.72242105263</v>
      </c>
      <c r="X22" s="27">
        <f>'Revenue Model'!X$31-X20</f>
        <v>207571.9468820059</v>
      </c>
      <c r="Y22" s="27">
        <f>'Revenue Model'!Y$31-Y20</f>
        <v>232016.01644623655</v>
      </c>
      <c r="Z22" s="27">
        <f>'Revenue Model'!Z$31-Z20</f>
        <v>266815.75310794776</v>
      </c>
      <c r="AA22" s="27">
        <f>'Revenue Model'!AA$31-AA20</f>
        <v>292260.51685646502</v>
      </c>
      <c r="AB22" s="27">
        <f>'Revenue Model'!AB$31-AB20</f>
        <v>317595.60489916964</v>
      </c>
      <c r="AC22" s="27">
        <f>'Revenue Model'!AC$31-AC20</f>
        <v>347250.51448909298</v>
      </c>
      <c r="AD22" s="27">
        <f>'Revenue Model'!AD$31-AD20</f>
        <v>376496.1931699196</v>
      </c>
      <c r="AE22" s="27">
        <f>'Revenue Model'!AE$31-AE20</f>
        <v>405553.07520133478</v>
      </c>
      <c r="AF22" s="27">
        <f>'Revenue Model'!AF$31-AF20</f>
        <v>442663.20023136819</v>
      </c>
      <c r="AG22" s="27">
        <f>'Revenue Model'!AG$31-AG20</f>
        <v>477034.94076195767</v>
      </c>
      <c r="AH22" s="27">
        <f>'Revenue Model'!AH$31-AH20</f>
        <v>511045.35397950374</v>
      </c>
      <c r="AI22" s="27">
        <f>'Revenue Model'!AI$31-AI20</f>
        <v>551457.81053182308</v>
      </c>
      <c r="AJ22" s="27">
        <f>'Revenue Model'!AJ$31-AJ20</f>
        <v>589189.94519685861</v>
      </c>
      <c r="AK22" s="27">
        <f>'Revenue Model'!AK$31-AK20</f>
        <v>627754.69133089005</v>
      </c>
      <c r="AL22" s="27">
        <f>'Revenue Model'!AL$31-AL$18</f>
        <v>675903</v>
      </c>
      <c r="AM22">
        <f>'Revenue Model'!AM$31-AM$18</f>
        <v>0</v>
      </c>
    </row>
    <row r="23" spans="1:49" x14ac:dyDescent="0.45">
      <c r="A23" s="133" t="s">
        <v>46</v>
      </c>
      <c r="B23" s="34">
        <f>IF('Revenue Model'!B$31&gt;0,B22/'Revenue Model'!B$31,0)</f>
        <v>0</v>
      </c>
      <c r="C23" s="34">
        <f>IF('Revenue Model'!C$31&gt;0,C22/'Revenue Model'!C$31,0)</f>
        <v>0</v>
      </c>
      <c r="D23" s="34">
        <f>IF('Revenue Model'!D$31&gt;0,D22/'Revenue Model'!D$31,0)</f>
        <v>0</v>
      </c>
      <c r="E23" s="34">
        <f>IF('Revenue Model'!E$31&gt;0,E22/'Revenue Model'!E$31,0)</f>
        <v>0.5532965034965035</v>
      </c>
      <c r="F23" s="34">
        <f>IF('Revenue Model'!F$31&gt;0,F22/'Revenue Model'!F$31,0)</f>
        <v>0.63175551331141278</v>
      </c>
      <c r="G23" s="34">
        <f>IF('Revenue Model'!G$31&gt;0,G22/'Revenue Model'!G$31,0)</f>
        <v>0.71384790695624267</v>
      </c>
      <c r="H23" s="34">
        <f>IF('Revenue Model'!H$31&gt;0,H22/'Revenue Model'!H$31,0)</f>
        <v>0.74358342653330944</v>
      </c>
      <c r="I23" s="34">
        <f>IF('Revenue Model'!I$31&gt;0,I22/'Revenue Model'!I$31,0)</f>
        <v>0.76097278203124641</v>
      </c>
      <c r="J23" s="34">
        <f>IF('Revenue Model'!J$31&gt;0,J22/'Revenue Model'!J$31,0)</f>
        <v>0.77219908657752012</v>
      </c>
      <c r="K23" s="34">
        <f>IF('Revenue Model'!K$31&gt;0,K22/'Revenue Model'!K$31,0)</f>
        <v>0.77980227893088094</v>
      </c>
      <c r="L23" s="34">
        <f>IF('Revenue Model'!L$31&gt;0,L22/'Revenue Model'!L$31,0)</f>
        <v>0.785227476347787</v>
      </c>
      <c r="M23" s="34">
        <f>IF('Revenue Model'!M$31&gt;0,M22/'Revenue Model'!M$31,0)</f>
        <v>0.78929321792661966</v>
      </c>
      <c r="N23" s="34">
        <f>IF('Revenue Model'!N$31&gt;0,N22/'Revenue Model'!N$31,0)</f>
        <v>0.80647066133906753</v>
      </c>
      <c r="O23" s="34">
        <f>IF('Revenue Model'!O$31&gt;0,O22/'Revenue Model'!O$31,0)</f>
        <v>0.81182512258660211</v>
      </c>
      <c r="P23" s="34">
        <f>IF('Revenue Model'!P$31&gt;0,P22/'Revenue Model'!P$31,0)</f>
        <v>0.81719444234879912</v>
      </c>
      <c r="Q23" s="34">
        <f>IF('Revenue Model'!Q$31&gt;0,Q22/'Revenue Model'!Q$31,0)</f>
        <v>0.8182401841834408</v>
      </c>
      <c r="R23" s="34">
        <f>IF('Revenue Model'!R$31&gt;0,R22/'Revenue Model'!R$31,0)</f>
        <v>0.82138387521612766</v>
      </c>
      <c r="S23" s="34">
        <f>IF('Revenue Model'!S$31&gt;0,S22/'Revenue Model'!S$31,0)</f>
        <v>0.82525476596470293</v>
      </c>
      <c r="T23" s="34">
        <f>IF('Revenue Model'!T$31&gt;0,T22/'Revenue Model'!T$31,0)</f>
        <v>0.82780331280471409</v>
      </c>
      <c r="U23" s="34">
        <f>IF('Revenue Model'!U$31&gt;0,U22/'Revenue Model'!U$31,0)</f>
        <v>0.83055977293648364</v>
      </c>
      <c r="V23" s="34">
        <f>IF('Revenue Model'!V$31&gt;0,V22/'Revenue Model'!V$31,0)</f>
        <v>0.83295489173756965</v>
      </c>
      <c r="W23" s="34">
        <f>IF('Revenue Model'!W$31&gt;0,W22/'Revenue Model'!W$31,0)</f>
        <v>0.8345361635919093</v>
      </c>
      <c r="X23" s="34">
        <f>IF('Revenue Model'!X$31&gt;0,X22/'Revenue Model'!X$31,0)</f>
        <v>0.83834095503967099</v>
      </c>
      <c r="Y23" s="34">
        <f>IF('Revenue Model'!Y$31&gt;0,Y22/'Revenue Model'!Y$31,0)</f>
        <v>0.84102068563048571</v>
      </c>
      <c r="Z23" s="34">
        <f>IF('Revenue Model'!Z$31&gt;0,Z22/'Revenue Model'!Z$31,0)</f>
        <v>0.8631807744101776</v>
      </c>
      <c r="AA23" s="34">
        <f>IF('Revenue Model'!AA$31&gt;0,AA22/'Revenue Model'!AA$31,0)</f>
        <v>0.8651071421149974</v>
      </c>
      <c r="AB23" s="34">
        <f>IF('Revenue Model'!AB$31&gt;0,AB22/'Revenue Model'!AB$31,0)</f>
        <v>0.86672514691538471</v>
      </c>
      <c r="AC23" s="34">
        <f>IF('Revenue Model'!AC$31&gt;0,AC22/'Revenue Model'!AC$31,0)</f>
        <v>0.86836954933414179</v>
      </c>
      <c r="AD23" s="34">
        <f>IF('Revenue Model'!AD$31&gt;0,AD22/'Revenue Model'!AD$31,0)</f>
        <v>0.86968875059076534</v>
      </c>
      <c r="AE23" s="34">
        <f>IF('Revenue Model'!AE$31&gt;0,AE22/'Revenue Model'!AE$31,0)</f>
        <v>0.87065734224322811</v>
      </c>
      <c r="AF23" s="34">
        <f>IF('Revenue Model'!AF$31&gt;0,AF22/'Revenue Model'!AF$31,0)</f>
        <v>0.87232716923098397</v>
      </c>
      <c r="AG23" s="34">
        <f>IF('Revenue Model'!AG$31&gt;0,AG22/'Revenue Model'!AG$31,0)</f>
        <v>0.87326329320968865</v>
      </c>
      <c r="AH23" s="34">
        <f>IF('Revenue Model'!AH$31&gt;0,AH22/'Revenue Model'!AH$31,0)</f>
        <v>0.8739202002970704</v>
      </c>
      <c r="AI23" s="34">
        <f>IF('Revenue Model'!AI$31&gt;0,AI22/'Revenue Model'!AI$31,0)</f>
        <v>0.87505353010380771</v>
      </c>
      <c r="AJ23" s="34">
        <f>IF('Revenue Model'!AJ$31&gt;0,AJ22/'Revenue Model'!AJ$31,0)</f>
        <v>0.87556715664170526</v>
      </c>
      <c r="AK23" s="34">
        <f>IF('Revenue Model'!AK$31&gt;0,AK22/'Revenue Model'!AK$31,0)</f>
        <v>0.8761530408655458</v>
      </c>
      <c r="AL23" s="34">
        <f>IF('Revenue Model'!AL$31&gt;0,AL$20/'Revenue Model'!AL$31,0)</f>
        <v>0</v>
      </c>
      <c r="AM23">
        <f>IF('Revenue Model'!AM$31&gt;0,AM$20/'Revenue Model'!AM$31,0)</f>
        <v>0</v>
      </c>
    </row>
    <row r="24" spans="1:49" x14ac:dyDescent="0.4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49" x14ac:dyDescent="0.45">
      <c r="A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49" x14ac:dyDescent="0.45">
      <c r="A26" s="134" t="s">
        <v>312</v>
      </c>
      <c r="B26" s="127"/>
      <c r="C26" s="127"/>
      <c r="D26" s="127"/>
      <c r="E26" s="127"/>
      <c r="F26" s="12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49" x14ac:dyDescent="0.45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</row>
    <row r="28" spans="1:49" x14ac:dyDescent="0.45">
      <c r="A28" s="128" t="s">
        <v>313</v>
      </c>
      <c r="B28" s="128" t="s">
        <v>314</v>
      </c>
      <c r="C28" s="128" t="s">
        <v>315</v>
      </c>
      <c r="D28" s="128" t="s">
        <v>316</v>
      </c>
      <c r="E28" s="128" t="s">
        <v>317</v>
      </c>
      <c r="F28" s="128" t="s">
        <v>318</v>
      </c>
      <c r="G28" s="92" t="s">
        <v>276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49" x14ac:dyDescent="0.45">
      <c r="A29" s="39" t="s">
        <v>319</v>
      </c>
      <c r="B29" s="39" t="s">
        <v>320</v>
      </c>
      <c r="C29" s="97" t="s">
        <v>321</v>
      </c>
      <c r="D29" s="97" t="s">
        <v>322</v>
      </c>
      <c r="E29" s="97" t="s">
        <v>321</v>
      </c>
      <c r="F29" s="98" t="s">
        <v>323</v>
      </c>
      <c r="G29" s="37" t="s">
        <v>324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49" x14ac:dyDescent="0.45">
      <c r="A30" s="37" t="s">
        <v>325</v>
      </c>
      <c r="B30" s="37" t="s">
        <v>305</v>
      </c>
      <c r="C30" s="95" t="s">
        <v>326</v>
      </c>
      <c r="D30" s="95" t="s">
        <v>322</v>
      </c>
      <c r="E30" s="95" t="s">
        <v>326</v>
      </c>
      <c r="F30" s="96" t="s">
        <v>323</v>
      </c>
      <c r="G30" s="39" t="s">
        <v>327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49" x14ac:dyDescent="0.45">
      <c r="A31" s="39" t="s">
        <v>328</v>
      </c>
      <c r="B31" s="39" t="s">
        <v>329</v>
      </c>
      <c r="C31" s="97" t="s">
        <v>330</v>
      </c>
      <c r="D31" s="97" t="s">
        <v>322</v>
      </c>
      <c r="E31" s="97" t="s">
        <v>330</v>
      </c>
      <c r="F31" s="98" t="s">
        <v>323</v>
      </c>
      <c r="G31" s="37" t="s">
        <v>331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49" x14ac:dyDescent="0.45">
      <c r="A32" s="37" t="s">
        <v>332</v>
      </c>
      <c r="B32" s="37" t="s">
        <v>333</v>
      </c>
      <c r="C32" s="95" t="s">
        <v>334</v>
      </c>
      <c r="D32" s="95" t="s">
        <v>322</v>
      </c>
      <c r="E32" s="95" t="s">
        <v>334</v>
      </c>
      <c r="F32" s="96" t="s">
        <v>323</v>
      </c>
      <c r="G32" s="39" t="s">
        <v>335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x14ac:dyDescent="0.45">
      <c r="A33" s="132" t="s">
        <v>336</v>
      </c>
      <c r="B33" s="132"/>
      <c r="C33" s="135"/>
      <c r="D33" s="135"/>
      <c r="E33" s="135" t="s">
        <v>337</v>
      </c>
      <c r="F33" s="136"/>
      <c r="G33" s="37" t="s">
        <v>338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1:37" x14ac:dyDescent="0.45">
      <c r="A34" s="39" t="s">
        <v>339</v>
      </c>
      <c r="B34" s="39" t="s">
        <v>340</v>
      </c>
      <c r="C34" s="97" t="s">
        <v>341</v>
      </c>
      <c r="D34" s="97" t="s">
        <v>341</v>
      </c>
      <c r="E34" s="97" t="s">
        <v>322</v>
      </c>
      <c r="F34" s="98" t="s">
        <v>188</v>
      </c>
      <c r="G34" s="39" t="s">
        <v>342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1:37" x14ac:dyDescent="0.45">
      <c r="A35" s="127" t="s">
        <v>343</v>
      </c>
      <c r="B35" s="127"/>
      <c r="C35" s="127"/>
      <c r="D35" s="127"/>
      <c r="E35" s="127"/>
      <c r="F35" s="12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x14ac:dyDescent="0.45">
      <c r="A36" s="35"/>
      <c r="B36" s="101"/>
      <c r="C36" s="101"/>
      <c r="D36" s="102"/>
      <c r="E36" s="99"/>
      <c r="F36" s="35"/>
      <c r="G36" s="35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x14ac:dyDescent="0.45">
      <c r="A37" s="137" t="s">
        <v>293</v>
      </c>
      <c r="B37" s="137" t="s">
        <v>313</v>
      </c>
      <c r="C37" s="137" t="s">
        <v>170</v>
      </c>
      <c r="D37" s="137" t="s">
        <v>171</v>
      </c>
      <c r="E37" s="137" t="s">
        <v>172</v>
      </c>
      <c r="F37" s="137" t="s">
        <v>276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x14ac:dyDescent="0.45">
      <c r="A38" s="37" t="s">
        <v>344</v>
      </c>
      <c r="B38" s="37" t="s">
        <v>319</v>
      </c>
      <c r="C38" s="37" t="s">
        <v>345</v>
      </c>
      <c r="D38" s="37" t="s">
        <v>346</v>
      </c>
      <c r="E38" s="37" t="s">
        <v>347</v>
      </c>
      <c r="F38" s="37" t="s">
        <v>348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x14ac:dyDescent="0.45">
      <c r="A39" s="98" t="s">
        <v>329</v>
      </c>
      <c r="B39" s="39" t="s">
        <v>349</v>
      </c>
      <c r="C39" s="39" t="s">
        <v>322</v>
      </c>
      <c r="D39" s="39" t="s">
        <v>350</v>
      </c>
      <c r="E39" s="39" t="s">
        <v>351</v>
      </c>
      <c r="F39" s="39" t="s">
        <v>352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x14ac:dyDescent="0.45">
      <c r="A40" s="37" t="s">
        <v>305</v>
      </c>
      <c r="B40" s="37" t="s">
        <v>325</v>
      </c>
      <c r="C40" s="37" t="s">
        <v>322</v>
      </c>
      <c r="D40" s="37" t="s">
        <v>353</v>
      </c>
      <c r="E40" s="37" t="s">
        <v>334</v>
      </c>
      <c r="F40" s="37" t="s">
        <v>348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x14ac:dyDescent="0.45">
      <c r="A41" s="98" t="s">
        <v>354</v>
      </c>
      <c r="B41" s="98" t="s">
        <v>332</v>
      </c>
      <c r="C41" s="98" t="s">
        <v>322</v>
      </c>
      <c r="D41" s="98" t="s">
        <v>355</v>
      </c>
      <c r="E41" s="98" t="s">
        <v>356</v>
      </c>
      <c r="F41" s="98" t="s">
        <v>357</v>
      </c>
      <c r="G41" s="92" t="s">
        <v>358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x14ac:dyDescent="0.45">
      <c r="A42" s="37" t="s">
        <v>308</v>
      </c>
      <c r="B42" s="37" t="s">
        <v>359</v>
      </c>
      <c r="C42" s="95" t="s">
        <v>360</v>
      </c>
      <c r="D42" s="95" t="s">
        <v>353</v>
      </c>
      <c r="E42" s="95" t="s">
        <v>361</v>
      </c>
      <c r="F42" s="37"/>
      <c r="G42" s="37" t="s">
        <v>362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x14ac:dyDescent="0.45">
      <c r="A43" s="39" t="s">
        <v>309</v>
      </c>
      <c r="B43" s="39" t="s">
        <v>363</v>
      </c>
      <c r="C43" s="97" t="s">
        <v>360</v>
      </c>
      <c r="D43" s="97" t="s">
        <v>364</v>
      </c>
      <c r="E43" s="97" t="s">
        <v>365</v>
      </c>
      <c r="F43" s="39"/>
      <c r="G43" s="39" t="s">
        <v>366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x14ac:dyDescent="0.45">
      <c r="A44" s="132" t="s">
        <v>367</v>
      </c>
      <c r="B44" s="132"/>
      <c r="C44" s="135" t="s">
        <v>368</v>
      </c>
      <c r="D44" s="135" t="s">
        <v>369</v>
      </c>
      <c r="E44" s="135" t="s">
        <v>370</v>
      </c>
      <c r="F44" s="132" t="s">
        <v>371</v>
      </c>
      <c r="G44" s="37" t="s">
        <v>372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x14ac:dyDescent="0.45">
      <c r="A45" s="39"/>
      <c r="B45" s="39"/>
      <c r="C45" s="97"/>
      <c r="D45" s="97"/>
      <c r="E45" s="97"/>
      <c r="F45" s="39"/>
      <c r="G45" s="39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x14ac:dyDescent="0.45">
      <c r="A46" s="37" t="s">
        <v>286</v>
      </c>
      <c r="B46" s="37"/>
      <c r="C46" s="95"/>
      <c r="D46" s="95"/>
      <c r="E46" s="95"/>
      <c r="F46" s="37" t="s">
        <v>373</v>
      </c>
      <c r="G46" s="37" t="s">
        <v>374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x14ac:dyDescent="0.45">
      <c r="A47" s="18" t="s">
        <v>375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x14ac:dyDescent="0.45">
      <c r="A48" s="35" t="s">
        <v>376</v>
      </c>
      <c r="B48" s="102"/>
      <c r="C48" s="99"/>
      <c r="D48" s="99"/>
      <c r="E48" s="99"/>
      <c r="F48" s="35"/>
      <c r="G48" s="35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x14ac:dyDescent="0.45">
      <c r="A49" s="18" t="s">
        <v>377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x14ac:dyDescent="0.45">
      <c r="A50" s="18" t="s">
        <v>378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x14ac:dyDescent="0.45">
      <c r="A51" s="100" t="s">
        <v>379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3"/>
  <sheetViews>
    <sheetView zoomScaleNormal="100" workbookViewId="0">
      <selection sqref="A1:AN1"/>
    </sheetView>
  </sheetViews>
  <sheetFormatPr defaultColWidth="8.6640625" defaultRowHeight="14.25" x14ac:dyDescent="0.45"/>
  <cols>
    <col min="1" max="1" width="26" customWidth="1"/>
    <col min="2" max="41" width="12" customWidth="1"/>
  </cols>
  <sheetData>
    <row r="1" spans="1:41" ht="24.75" customHeight="1" x14ac:dyDescent="0.45">
      <c r="A1" s="160" t="s">
        <v>380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9"/>
      <c r="AO1" s="1"/>
    </row>
    <row r="2" spans="1:4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spans="1:41" ht="14.25" customHeight="1" x14ac:dyDescent="0.45">
      <c r="A3" s="19" t="s">
        <v>381</v>
      </c>
      <c r="B3" s="19" t="s">
        <v>382</v>
      </c>
      <c r="C3" s="19" t="s">
        <v>383</v>
      </c>
      <c r="D3" s="19" t="s">
        <v>384</v>
      </c>
      <c r="E3" s="19" t="s">
        <v>385</v>
      </c>
      <c r="F3" s="19" t="s">
        <v>2</v>
      </c>
      <c r="G3" s="19" t="s">
        <v>3</v>
      </c>
      <c r="H3" s="19" t="s">
        <v>4</v>
      </c>
      <c r="I3" s="19" t="s">
        <v>5</v>
      </c>
      <c r="J3" s="19" t="s">
        <v>6</v>
      </c>
      <c r="K3" s="19" t="s">
        <v>7</v>
      </c>
      <c r="L3" s="19" t="s">
        <v>8</v>
      </c>
      <c r="M3" s="19" t="s">
        <v>9</v>
      </c>
      <c r="N3" s="19" t="s">
        <v>10</v>
      </c>
      <c r="O3" s="19" t="s">
        <v>11</v>
      </c>
      <c r="P3" s="19" t="s">
        <v>12</v>
      </c>
      <c r="Q3" s="19" t="s">
        <v>13</v>
      </c>
      <c r="R3" s="19" t="s">
        <v>14</v>
      </c>
      <c r="S3" s="19" t="s">
        <v>15</v>
      </c>
      <c r="T3" s="19" t="s">
        <v>16</v>
      </c>
      <c r="U3" s="19" t="s">
        <v>17</v>
      </c>
      <c r="V3" s="19" t="s">
        <v>18</v>
      </c>
      <c r="W3" s="19" t="s">
        <v>19</v>
      </c>
      <c r="X3" s="19" t="s">
        <v>20</v>
      </c>
      <c r="Y3" s="19" t="s">
        <v>21</v>
      </c>
      <c r="Z3" s="19" t="s">
        <v>22</v>
      </c>
      <c r="AA3" s="19" t="s">
        <v>23</v>
      </c>
      <c r="AB3" s="19" t="s">
        <v>24</v>
      </c>
      <c r="AC3" s="19" t="s">
        <v>25</v>
      </c>
      <c r="AD3" s="19" t="s">
        <v>26</v>
      </c>
      <c r="AE3" s="19" t="s">
        <v>27</v>
      </c>
      <c r="AF3" s="19" t="s">
        <v>28</v>
      </c>
      <c r="AG3" s="19" t="s">
        <v>29</v>
      </c>
      <c r="AH3" s="19" t="s">
        <v>30</v>
      </c>
      <c r="AI3" s="19" t="s">
        <v>31</v>
      </c>
      <c r="AJ3" s="19" t="s">
        <v>32</v>
      </c>
      <c r="AK3" s="19" t="s">
        <v>33</v>
      </c>
      <c r="AL3" s="19" t="s">
        <v>34</v>
      </c>
      <c r="AM3" s="19" t="s">
        <v>35</v>
      </c>
      <c r="AN3" s="19" t="s">
        <v>36</v>
      </c>
      <c r="AO3" s="1" t="s">
        <v>37</v>
      </c>
    </row>
    <row r="4" spans="1:41" ht="14.25" customHeight="1" x14ac:dyDescent="0.45">
      <c r="A4" s="23" t="s">
        <v>386</v>
      </c>
      <c r="B4" s="103" t="s">
        <v>387</v>
      </c>
      <c r="C4" s="24">
        <v>90000</v>
      </c>
      <c r="D4" s="24">
        <v>1</v>
      </c>
      <c r="E4" s="103" t="s">
        <v>388</v>
      </c>
      <c r="F4" s="103">
        <f t="shared" ref="F4:F28" si="0">IF(1&gt;=$D4,$C4/12,0)</f>
        <v>7500</v>
      </c>
      <c r="G4" s="103">
        <f t="shared" ref="G4:G28" si="1">IF(2&gt;=$D4,$C4/12,0)</f>
        <v>7500</v>
      </c>
      <c r="H4" s="103">
        <f t="shared" ref="H4:H28" si="2">IF(3&gt;=$D4,$C4/12,0)</f>
        <v>7500</v>
      </c>
      <c r="I4" s="103">
        <f t="shared" ref="I4:I28" si="3">IF(4&gt;=$D4,$C4/12,0)</f>
        <v>7500</v>
      </c>
      <c r="J4" s="103">
        <f t="shared" ref="J4:J28" si="4">IF(5&gt;=$D4,$C4/12,0)</f>
        <v>7500</v>
      </c>
      <c r="K4" s="103">
        <f t="shared" ref="K4:K28" si="5">IF(6&gt;=$D4,$C4/12,0)</f>
        <v>7500</v>
      </c>
      <c r="L4" s="103">
        <f t="shared" ref="L4:L28" si="6">IF(7&gt;=$D4,$C4/12,0)</f>
        <v>7500</v>
      </c>
      <c r="M4" s="103">
        <f t="shared" ref="M4:M28" si="7">IF(8&gt;=$D4,$C4/12,0)</f>
        <v>7500</v>
      </c>
      <c r="N4" s="103">
        <f t="shared" ref="N4:N28" si="8">IF(9&gt;=$D4,$C4/12,0)</f>
        <v>7500</v>
      </c>
      <c r="O4" s="103">
        <f t="shared" ref="O4:O28" si="9">IF(10&gt;=$D4,$C4/12,0)</f>
        <v>7500</v>
      </c>
      <c r="P4" s="103">
        <f t="shared" ref="P4:P28" si="10">IF(11&gt;=$D4,$C4/12,0)</f>
        <v>7500</v>
      </c>
      <c r="Q4" s="103">
        <f t="shared" ref="Q4:Q28" si="11">IF(12&gt;=$D4,$C4/12,0)</f>
        <v>7500</v>
      </c>
      <c r="R4" s="103">
        <f t="shared" ref="R4:R28" si="12">IF(13&gt;=$D4,$C4/12,0)</f>
        <v>7500</v>
      </c>
      <c r="S4" s="103">
        <f t="shared" ref="S4:S28" si="13">IF(14&gt;=$D4,$C4/12,0)</f>
        <v>7500</v>
      </c>
      <c r="T4" s="103">
        <f t="shared" ref="T4:T28" si="14">IF(15&gt;=$D4,$C4/12,0)</f>
        <v>7500</v>
      </c>
      <c r="U4" s="103">
        <f t="shared" ref="U4:U28" si="15">IF(16&gt;=$D4,$C4/12,0)</f>
        <v>7500</v>
      </c>
      <c r="V4" s="103">
        <f t="shared" ref="V4:V28" si="16">IF(17&gt;=$D4,$C4/12,0)</f>
        <v>7500</v>
      </c>
      <c r="W4" s="103">
        <f t="shared" ref="W4:W28" si="17">IF(18&gt;=$D4,$C4/12,0)</f>
        <v>7500</v>
      </c>
      <c r="X4" s="103">
        <f t="shared" ref="X4:X28" si="18">IF(19&gt;=$D4,$C4/12,0)</f>
        <v>7500</v>
      </c>
      <c r="Y4" s="103">
        <f t="shared" ref="Y4:Y28" si="19">IF(20&gt;=$D4,$C4/12,0)</f>
        <v>7500</v>
      </c>
      <c r="Z4" s="103">
        <f t="shared" ref="Z4:Z28" si="20">IF(21&gt;=$D4,$C4/12,0)</f>
        <v>7500</v>
      </c>
      <c r="AA4" s="103">
        <f t="shared" ref="AA4:AA28" si="21">IF(22&gt;=$D4,$C4/12,0)</f>
        <v>7500</v>
      </c>
      <c r="AB4" s="103">
        <f t="shared" ref="AB4:AB28" si="22">IF(23&gt;=$D4,$C4/12,0)</f>
        <v>7500</v>
      </c>
      <c r="AC4" s="103">
        <f t="shared" ref="AC4:AC28" si="23">IF(24&gt;=$D4,$C4/12,0)</f>
        <v>7500</v>
      </c>
      <c r="AD4" s="103">
        <f t="shared" ref="AD4:AD28" si="24">IF(25&gt;=$D4,$C4/12,0)</f>
        <v>7500</v>
      </c>
      <c r="AE4" s="103">
        <f t="shared" ref="AE4:AE28" si="25">IF(26&gt;=$D4,$C4/12,0)</f>
        <v>7500</v>
      </c>
      <c r="AF4" s="103">
        <f t="shared" ref="AF4:AF28" si="26">IF(27&gt;=$D4,$C4/12,0)</f>
        <v>7500</v>
      </c>
      <c r="AG4" s="103">
        <f t="shared" ref="AG4:AG28" si="27">IF(28&gt;=$D4,$C4/12,0)</f>
        <v>7500</v>
      </c>
      <c r="AH4" s="103">
        <f t="shared" ref="AH4:AH28" si="28">IF(29&gt;=$D4,$C4/12,0)</f>
        <v>7500</v>
      </c>
      <c r="AI4" s="103">
        <f t="shared" ref="AI4:AI28" si="29">IF(30&gt;=$D4,$C4/12,0)</f>
        <v>7500</v>
      </c>
      <c r="AJ4" s="103">
        <f t="shared" ref="AJ4:AJ28" si="30">IF(31&gt;=$D4,$C4/12,0)</f>
        <v>7500</v>
      </c>
      <c r="AK4" s="103">
        <f t="shared" ref="AK4:AK28" si="31">IF(32&gt;=$D4,$C4/12,0)</f>
        <v>7500</v>
      </c>
      <c r="AL4" s="103">
        <f t="shared" ref="AL4:AL28" si="32">IF(33&gt;=$D4,$C4/12,0)</f>
        <v>7500</v>
      </c>
      <c r="AM4" s="103">
        <f t="shared" ref="AM4:AM28" si="33">IF(34&gt;=$D4,$C4/12,0)</f>
        <v>7500</v>
      </c>
      <c r="AN4" s="103">
        <f t="shared" ref="AN4:AN28" si="34">IF(35&gt;=$D4,$C4/12,0)</f>
        <v>7500</v>
      </c>
      <c r="AO4" s="3">
        <f t="shared" ref="AO4:AO28" si="35">IF(36&gt;=$D4,$C4/12,0)</f>
        <v>7500</v>
      </c>
    </row>
    <row r="5" spans="1:41" ht="14.25" customHeight="1" x14ac:dyDescent="0.45">
      <c r="A5" s="25" t="s">
        <v>389</v>
      </c>
      <c r="B5" s="68" t="s">
        <v>390</v>
      </c>
      <c r="C5" s="26">
        <v>90000</v>
      </c>
      <c r="D5" s="26">
        <v>1</v>
      </c>
      <c r="E5" s="68" t="s">
        <v>388</v>
      </c>
      <c r="F5" s="68">
        <f t="shared" si="0"/>
        <v>7500</v>
      </c>
      <c r="G5" s="68">
        <f t="shared" si="1"/>
        <v>7500</v>
      </c>
      <c r="H5" s="68">
        <f t="shared" si="2"/>
        <v>7500</v>
      </c>
      <c r="I5" s="68">
        <f t="shared" si="3"/>
        <v>7500</v>
      </c>
      <c r="J5" s="68">
        <f t="shared" si="4"/>
        <v>7500</v>
      </c>
      <c r="K5" s="68">
        <f t="shared" si="5"/>
        <v>7500</v>
      </c>
      <c r="L5" s="68">
        <f t="shared" si="6"/>
        <v>7500</v>
      </c>
      <c r="M5" s="68">
        <f t="shared" si="7"/>
        <v>7500</v>
      </c>
      <c r="N5" s="68">
        <f t="shared" si="8"/>
        <v>7500</v>
      </c>
      <c r="O5" s="68">
        <f t="shared" si="9"/>
        <v>7500</v>
      </c>
      <c r="P5" s="68">
        <f t="shared" si="10"/>
        <v>7500</v>
      </c>
      <c r="Q5" s="68">
        <f t="shared" si="11"/>
        <v>7500</v>
      </c>
      <c r="R5" s="68">
        <f t="shared" si="12"/>
        <v>7500</v>
      </c>
      <c r="S5" s="68">
        <f t="shared" si="13"/>
        <v>7500</v>
      </c>
      <c r="T5" s="68">
        <f t="shared" si="14"/>
        <v>7500</v>
      </c>
      <c r="U5" s="68">
        <f t="shared" si="15"/>
        <v>7500</v>
      </c>
      <c r="V5" s="68">
        <f t="shared" si="16"/>
        <v>7500</v>
      </c>
      <c r="W5" s="68">
        <f t="shared" si="17"/>
        <v>7500</v>
      </c>
      <c r="X5" s="68">
        <f t="shared" si="18"/>
        <v>7500</v>
      </c>
      <c r="Y5" s="68">
        <f t="shared" si="19"/>
        <v>7500</v>
      </c>
      <c r="Z5" s="68">
        <f t="shared" si="20"/>
        <v>7500</v>
      </c>
      <c r="AA5" s="68">
        <f t="shared" si="21"/>
        <v>7500</v>
      </c>
      <c r="AB5" s="68">
        <f t="shared" si="22"/>
        <v>7500</v>
      </c>
      <c r="AC5" s="68">
        <f t="shared" si="23"/>
        <v>7500</v>
      </c>
      <c r="AD5" s="68">
        <f t="shared" si="24"/>
        <v>7500</v>
      </c>
      <c r="AE5" s="68">
        <f t="shared" si="25"/>
        <v>7500</v>
      </c>
      <c r="AF5" s="68">
        <f t="shared" si="26"/>
        <v>7500</v>
      </c>
      <c r="AG5" s="68">
        <f t="shared" si="27"/>
        <v>7500</v>
      </c>
      <c r="AH5" s="68">
        <f t="shared" si="28"/>
        <v>7500</v>
      </c>
      <c r="AI5" s="68">
        <f t="shared" si="29"/>
        <v>7500</v>
      </c>
      <c r="AJ5" s="68">
        <f t="shared" si="30"/>
        <v>7500</v>
      </c>
      <c r="AK5" s="68">
        <f t="shared" si="31"/>
        <v>7500</v>
      </c>
      <c r="AL5" s="68">
        <f t="shared" si="32"/>
        <v>7500</v>
      </c>
      <c r="AM5" s="68">
        <f t="shared" si="33"/>
        <v>7500</v>
      </c>
      <c r="AN5" s="68">
        <f t="shared" si="34"/>
        <v>7500</v>
      </c>
      <c r="AO5" s="3">
        <f t="shared" si="35"/>
        <v>7500</v>
      </c>
    </row>
    <row r="6" spans="1:41" ht="14.25" customHeight="1" x14ac:dyDescent="0.45">
      <c r="A6" s="23" t="s">
        <v>391</v>
      </c>
      <c r="B6" s="103" t="s">
        <v>390</v>
      </c>
      <c r="C6" s="24">
        <v>90000</v>
      </c>
      <c r="D6" s="24">
        <v>1</v>
      </c>
      <c r="E6" s="103" t="s">
        <v>392</v>
      </c>
      <c r="F6" s="103">
        <f t="shared" si="0"/>
        <v>7500</v>
      </c>
      <c r="G6" s="103">
        <f t="shared" si="1"/>
        <v>7500</v>
      </c>
      <c r="H6" s="103">
        <f t="shared" si="2"/>
        <v>7500</v>
      </c>
      <c r="I6" s="103">
        <f t="shared" si="3"/>
        <v>7500</v>
      </c>
      <c r="J6" s="103">
        <f t="shared" si="4"/>
        <v>7500</v>
      </c>
      <c r="K6" s="103">
        <f t="shared" si="5"/>
        <v>7500</v>
      </c>
      <c r="L6" s="103">
        <f t="shared" si="6"/>
        <v>7500</v>
      </c>
      <c r="M6" s="103">
        <f t="shared" si="7"/>
        <v>7500</v>
      </c>
      <c r="N6" s="103">
        <f t="shared" si="8"/>
        <v>7500</v>
      </c>
      <c r="O6" s="103">
        <f t="shared" si="9"/>
        <v>7500</v>
      </c>
      <c r="P6" s="103">
        <f t="shared" si="10"/>
        <v>7500</v>
      </c>
      <c r="Q6" s="103">
        <f t="shared" si="11"/>
        <v>7500</v>
      </c>
      <c r="R6" s="103">
        <f t="shared" si="12"/>
        <v>7500</v>
      </c>
      <c r="S6" s="103">
        <f t="shared" si="13"/>
        <v>7500</v>
      </c>
      <c r="T6" s="103">
        <f t="shared" si="14"/>
        <v>7500</v>
      </c>
      <c r="U6" s="103">
        <f t="shared" si="15"/>
        <v>7500</v>
      </c>
      <c r="V6" s="103">
        <f t="shared" si="16"/>
        <v>7500</v>
      </c>
      <c r="W6" s="103">
        <f t="shared" si="17"/>
        <v>7500</v>
      </c>
      <c r="X6" s="103">
        <f t="shared" si="18"/>
        <v>7500</v>
      </c>
      <c r="Y6" s="103">
        <f t="shared" si="19"/>
        <v>7500</v>
      </c>
      <c r="Z6" s="103">
        <f t="shared" si="20"/>
        <v>7500</v>
      </c>
      <c r="AA6" s="103">
        <f t="shared" si="21"/>
        <v>7500</v>
      </c>
      <c r="AB6" s="103">
        <f t="shared" si="22"/>
        <v>7500</v>
      </c>
      <c r="AC6" s="103">
        <f t="shared" si="23"/>
        <v>7500</v>
      </c>
      <c r="AD6" s="103">
        <f t="shared" si="24"/>
        <v>7500</v>
      </c>
      <c r="AE6" s="103">
        <f t="shared" si="25"/>
        <v>7500</v>
      </c>
      <c r="AF6" s="103">
        <f t="shared" si="26"/>
        <v>7500</v>
      </c>
      <c r="AG6" s="103">
        <f t="shared" si="27"/>
        <v>7500</v>
      </c>
      <c r="AH6" s="103">
        <f t="shared" si="28"/>
        <v>7500</v>
      </c>
      <c r="AI6" s="103">
        <f t="shared" si="29"/>
        <v>7500</v>
      </c>
      <c r="AJ6" s="103">
        <f t="shared" si="30"/>
        <v>7500</v>
      </c>
      <c r="AK6" s="103">
        <f t="shared" si="31"/>
        <v>7500</v>
      </c>
      <c r="AL6" s="103">
        <f t="shared" si="32"/>
        <v>7500</v>
      </c>
      <c r="AM6" s="103">
        <f t="shared" si="33"/>
        <v>7500</v>
      </c>
      <c r="AN6" s="103">
        <f t="shared" si="34"/>
        <v>7500</v>
      </c>
      <c r="AO6" s="3">
        <f t="shared" si="35"/>
        <v>7500</v>
      </c>
    </row>
    <row r="7" spans="1:41" ht="14.25" customHeight="1" x14ac:dyDescent="0.45">
      <c r="A7" s="25" t="s">
        <v>393</v>
      </c>
      <c r="B7" s="68" t="s">
        <v>390</v>
      </c>
      <c r="C7" s="26">
        <v>80000</v>
      </c>
      <c r="D7" s="26">
        <v>8</v>
      </c>
      <c r="E7" s="68" t="s">
        <v>392</v>
      </c>
      <c r="F7" s="68">
        <f t="shared" si="0"/>
        <v>0</v>
      </c>
      <c r="G7" s="68">
        <f t="shared" si="1"/>
        <v>0</v>
      </c>
      <c r="H7" s="68">
        <f t="shared" si="2"/>
        <v>0</v>
      </c>
      <c r="I7" s="68">
        <f t="shared" si="3"/>
        <v>0</v>
      </c>
      <c r="J7" s="68">
        <f t="shared" si="4"/>
        <v>0</v>
      </c>
      <c r="K7" s="68">
        <f t="shared" si="5"/>
        <v>0</v>
      </c>
      <c r="L7" s="68">
        <f t="shared" si="6"/>
        <v>0</v>
      </c>
      <c r="M7" s="68">
        <f t="shared" si="7"/>
        <v>6666.666666666667</v>
      </c>
      <c r="N7" s="68">
        <f t="shared" si="8"/>
        <v>6666.666666666667</v>
      </c>
      <c r="O7" s="68">
        <f t="shared" si="9"/>
        <v>6666.666666666667</v>
      </c>
      <c r="P7" s="68">
        <f t="shared" si="10"/>
        <v>6666.666666666667</v>
      </c>
      <c r="Q7" s="68">
        <f t="shared" si="11"/>
        <v>6666.666666666667</v>
      </c>
      <c r="R7" s="68">
        <f t="shared" si="12"/>
        <v>6666.666666666667</v>
      </c>
      <c r="S7" s="68">
        <f t="shared" si="13"/>
        <v>6666.666666666667</v>
      </c>
      <c r="T7" s="68">
        <f t="shared" si="14"/>
        <v>6666.666666666667</v>
      </c>
      <c r="U7" s="68">
        <f t="shared" si="15"/>
        <v>6666.666666666667</v>
      </c>
      <c r="V7" s="68">
        <f t="shared" si="16"/>
        <v>6666.666666666667</v>
      </c>
      <c r="W7" s="68">
        <f t="shared" si="17"/>
        <v>6666.666666666667</v>
      </c>
      <c r="X7" s="68">
        <f t="shared" si="18"/>
        <v>6666.666666666667</v>
      </c>
      <c r="Y7" s="68">
        <f t="shared" si="19"/>
        <v>6666.666666666667</v>
      </c>
      <c r="Z7" s="68">
        <f t="shared" si="20"/>
        <v>6666.666666666667</v>
      </c>
      <c r="AA7" s="68">
        <f t="shared" si="21"/>
        <v>6666.666666666667</v>
      </c>
      <c r="AB7" s="68">
        <f t="shared" si="22"/>
        <v>6666.666666666667</v>
      </c>
      <c r="AC7" s="68">
        <f t="shared" si="23"/>
        <v>6666.666666666667</v>
      </c>
      <c r="AD7" s="68">
        <f t="shared" si="24"/>
        <v>6666.666666666667</v>
      </c>
      <c r="AE7" s="68">
        <f t="shared" si="25"/>
        <v>6666.666666666667</v>
      </c>
      <c r="AF7" s="68">
        <f t="shared" si="26"/>
        <v>6666.666666666667</v>
      </c>
      <c r="AG7" s="68">
        <f t="shared" si="27"/>
        <v>6666.666666666667</v>
      </c>
      <c r="AH7" s="68">
        <f t="shared" si="28"/>
        <v>6666.666666666667</v>
      </c>
      <c r="AI7" s="68">
        <f t="shared" si="29"/>
        <v>6666.666666666667</v>
      </c>
      <c r="AJ7" s="68">
        <f t="shared" si="30"/>
        <v>6666.666666666667</v>
      </c>
      <c r="AK7" s="68">
        <f t="shared" si="31"/>
        <v>6666.666666666667</v>
      </c>
      <c r="AL7" s="68">
        <f t="shared" si="32"/>
        <v>6666.666666666667</v>
      </c>
      <c r="AM7" s="68">
        <f t="shared" si="33"/>
        <v>6666.666666666667</v>
      </c>
      <c r="AN7" s="68">
        <f t="shared" si="34"/>
        <v>6666.666666666667</v>
      </c>
      <c r="AO7" s="3">
        <f t="shared" si="35"/>
        <v>6666.666666666667</v>
      </c>
    </row>
    <row r="8" spans="1:41" ht="14.25" customHeight="1" x14ac:dyDescent="0.45">
      <c r="A8" s="23" t="s">
        <v>394</v>
      </c>
      <c r="B8" s="103" t="s">
        <v>395</v>
      </c>
      <c r="C8" s="24">
        <v>85000</v>
      </c>
      <c r="D8" s="24">
        <v>99</v>
      </c>
      <c r="E8" s="103" t="s">
        <v>396</v>
      </c>
      <c r="F8" s="103">
        <f t="shared" si="0"/>
        <v>0</v>
      </c>
      <c r="G8" s="103">
        <f t="shared" si="1"/>
        <v>0</v>
      </c>
      <c r="H8" s="103">
        <f t="shared" si="2"/>
        <v>0</v>
      </c>
      <c r="I8" s="103">
        <f t="shared" si="3"/>
        <v>0</v>
      </c>
      <c r="J8" s="103">
        <f t="shared" si="4"/>
        <v>0</v>
      </c>
      <c r="K8" s="103">
        <f t="shared" si="5"/>
        <v>0</v>
      </c>
      <c r="L8" s="103">
        <f t="shared" si="6"/>
        <v>0</v>
      </c>
      <c r="M8" s="103">
        <f t="shared" si="7"/>
        <v>0</v>
      </c>
      <c r="N8" s="103">
        <f t="shared" si="8"/>
        <v>0</v>
      </c>
      <c r="O8" s="103">
        <f t="shared" si="9"/>
        <v>0</v>
      </c>
      <c r="P8" s="103">
        <f t="shared" si="10"/>
        <v>0</v>
      </c>
      <c r="Q8" s="103">
        <f t="shared" si="11"/>
        <v>0</v>
      </c>
      <c r="R8" s="103">
        <f t="shared" si="12"/>
        <v>0</v>
      </c>
      <c r="S8" s="103">
        <f t="shared" si="13"/>
        <v>0</v>
      </c>
      <c r="T8" s="103">
        <f t="shared" si="14"/>
        <v>0</v>
      </c>
      <c r="U8" s="103">
        <f t="shared" si="15"/>
        <v>0</v>
      </c>
      <c r="V8" s="103">
        <f t="shared" si="16"/>
        <v>0</v>
      </c>
      <c r="W8" s="103">
        <f t="shared" si="17"/>
        <v>0</v>
      </c>
      <c r="X8" s="103">
        <f t="shared" si="18"/>
        <v>0</v>
      </c>
      <c r="Y8" s="103">
        <f t="shared" si="19"/>
        <v>0</v>
      </c>
      <c r="Z8" s="103">
        <f t="shared" si="20"/>
        <v>0</v>
      </c>
      <c r="AA8" s="103">
        <f t="shared" si="21"/>
        <v>0</v>
      </c>
      <c r="AB8" s="103">
        <f t="shared" si="22"/>
        <v>0</v>
      </c>
      <c r="AC8" s="103">
        <f t="shared" si="23"/>
        <v>0</v>
      </c>
      <c r="AD8" s="103">
        <f t="shared" si="24"/>
        <v>0</v>
      </c>
      <c r="AE8" s="103">
        <f t="shared" si="25"/>
        <v>0</v>
      </c>
      <c r="AF8" s="103">
        <f t="shared" si="26"/>
        <v>0</v>
      </c>
      <c r="AG8" s="103">
        <f t="shared" si="27"/>
        <v>0</v>
      </c>
      <c r="AH8" s="103">
        <f t="shared" si="28"/>
        <v>0</v>
      </c>
      <c r="AI8" s="103">
        <f t="shared" si="29"/>
        <v>0</v>
      </c>
      <c r="AJ8" s="103">
        <f t="shared" si="30"/>
        <v>0</v>
      </c>
      <c r="AK8" s="103">
        <f t="shared" si="31"/>
        <v>0</v>
      </c>
      <c r="AL8" s="103">
        <f t="shared" si="32"/>
        <v>0</v>
      </c>
      <c r="AM8" s="103">
        <f t="shared" si="33"/>
        <v>0</v>
      </c>
      <c r="AN8" s="103">
        <f t="shared" si="34"/>
        <v>0</v>
      </c>
      <c r="AO8" s="3">
        <f t="shared" si="35"/>
        <v>0</v>
      </c>
    </row>
    <row r="9" spans="1:41" ht="14.25" customHeight="1" x14ac:dyDescent="0.45">
      <c r="A9" s="25" t="s">
        <v>397</v>
      </c>
      <c r="B9" s="68" t="s">
        <v>398</v>
      </c>
      <c r="C9" s="26">
        <v>65000</v>
      </c>
      <c r="D9" s="26">
        <v>10</v>
      </c>
      <c r="E9" s="68" t="s">
        <v>396</v>
      </c>
      <c r="F9" s="68">
        <f t="shared" si="0"/>
        <v>0</v>
      </c>
      <c r="G9" s="68">
        <f t="shared" si="1"/>
        <v>0</v>
      </c>
      <c r="H9" s="68">
        <f t="shared" si="2"/>
        <v>0</v>
      </c>
      <c r="I9" s="68">
        <f t="shared" si="3"/>
        <v>0</v>
      </c>
      <c r="J9" s="68">
        <f t="shared" si="4"/>
        <v>0</v>
      </c>
      <c r="K9" s="68">
        <f t="shared" si="5"/>
        <v>0</v>
      </c>
      <c r="L9" s="68">
        <f t="shared" si="6"/>
        <v>0</v>
      </c>
      <c r="M9" s="68">
        <f t="shared" si="7"/>
        <v>0</v>
      </c>
      <c r="N9" s="68">
        <f t="shared" si="8"/>
        <v>0</v>
      </c>
      <c r="O9" s="68">
        <f t="shared" si="9"/>
        <v>5416.666666666667</v>
      </c>
      <c r="P9" s="68">
        <f t="shared" si="10"/>
        <v>5416.666666666667</v>
      </c>
      <c r="Q9" s="68">
        <f t="shared" si="11"/>
        <v>5416.666666666667</v>
      </c>
      <c r="R9" s="68">
        <f t="shared" si="12"/>
        <v>5416.666666666667</v>
      </c>
      <c r="S9" s="68">
        <f t="shared" si="13"/>
        <v>5416.666666666667</v>
      </c>
      <c r="T9" s="68">
        <f t="shared" si="14"/>
        <v>5416.666666666667</v>
      </c>
      <c r="U9" s="68">
        <f t="shared" si="15"/>
        <v>5416.666666666667</v>
      </c>
      <c r="V9" s="68">
        <f t="shared" si="16"/>
        <v>5416.666666666667</v>
      </c>
      <c r="W9" s="68">
        <f t="shared" si="17"/>
        <v>5416.666666666667</v>
      </c>
      <c r="X9" s="68">
        <f t="shared" si="18"/>
        <v>5416.666666666667</v>
      </c>
      <c r="Y9" s="68">
        <f t="shared" si="19"/>
        <v>5416.666666666667</v>
      </c>
      <c r="Z9" s="68">
        <f t="shared" si="20"/>
        <v>5416.666666666667</v>
      </c>
      <c r="AA9" s="68">
        <f t="shared" si="21"/>
        <v>5416.666666666667</v>
      </c>
      <c r="AB9" s="68">
        <f t="shared" si="22"/>
        <v>5416.666666666667</v>
      </c>
      <c r="AC9" s="68">
        <f t="shared" si="23"/>
        <v>5416.666666666667</v>
      </c>
      <c r="AD9" s="68">
        <f t="shared" si="24"/>
        <v>5416.666666666667</v>
      </c>
      <c r="AE9" s="68">
        <f t="shared" si="25"/>
        <v>5416.666666666667</v>
      </c>
      <c r="AF9" s="68">
        <f t="shared" si="26"/>
        <v>5416.666666666667</v>
      </c>
      <c r="AG9" s="68">
        <f t="shared" si="27"/>
        <v>5416.666666666667</v>
      </c>
      <c r="AH9" s="68">
        <f t="shared" si="28"/>
        <v>5416.666666666667</v>
      </c>
      <c r="AI9" s="68">
        <f t="shared" si="29"/>
        <v>5416.666666666667</v>
      </c>
      <c r="AJ9" s="68">
        <f t="shared" si="30"/>
        <v>5416.666666666667</v>
      </c>
      <c r="AK9" s="68">
        <f t="shared" si="31"/>
        <v>5416.666666666667</v>
      </c>
      <c r="AL9" s="68">
        <f t="shared" si="32"/>
        <v>5416.666666666667</v>
      </c>
      <c r="AM9" s="68">
        <f t="shared" si="33"/>
        <v>5416.666666666667</v>
      </c>
      <c r="AN9" s="68">
        <f t="shared" si="34"/>
        <v>5416.666666666667</v>
      </c>
      <c r="AO9" s="3">
        <f t="shared" si="35"/>
        <v>5416.666666666667</v>
      </c>
    </row>
    <row r="10" spans="1:41" ht="14.25" customHeight="1" x14ac:dyDescent="0.45">
      <c r="A10" s="23" t="s">
        <v>399</v>
      </c>
      <c r="B10" s="103" t="s">
        <v>400</v>
      </c>
      <c r="C10" s="24">
        <v>70000</v>
      </c>
      <c r="D10" s="24">
        <v>4</v>
      </c>
      <c r="E10" s="103" t="s">
        <v>396</v>
      </c>
      <c r="F10" s="103">
        <f t="shared" si="0"/>
        <v>0</v>
      </c>
      <c r="G10" s="103">
        <f t="shared" si="1"/>
        <v>0</v>
      </c>
      <c r="H10" s="103">
        <f t="shared" si="2"/>
        <v>0</v>
      </c>
      <c r="I10" s="103">
        <f t="shared" si="3"/>
        <v>5833.333333333333</v>
      </c>
      <c r="J10" s="103">
        <f t="shared" si="4"/>
        <v>5833.333333333333</v>
      </c>
      <c r="K10" s="103">
        <f t="shared" si="5"/>
        <v>5833.333333333333</v>
      </c>
      <c r="L10" s="103">
        <f t="shared" si="6"/>
        <v>5833.333333333333</v>
      </c>
      <c r="M10" s="103">
        <f t="shared" si="7"/>
        <v>5833.333333333333</v>
      </c>
      <c r="N10" s="103">
        <f t="shared" si="8"/>
        <v>5833.333333333333</v>
      </c>
      <c r="O10" s="103">
        <f t="shared" si="9"/>
        <v>5833.333333333333</v>
      </c>
      <c r="P10" s="103">
        <f t="shared" si="10"/>
        <v>5833.333333333333</v>
      </c>
      <c r="Q10" s="103">
        <f t="shared" si="11"/>
        <v>5833.333333333333</v>
      </c>
      <c r="R10" s="103">
        <f t="shared" si="12"/>
        <v>5833.333333333333</v>
      </c>
      <c r="S10" s="103">
        <f t="shared" si="13"/>
        <v>5833.333333333333</v>
      </c>
      <c r="T10" s="103">
        <f t="shared" si="14"/>
        <v>5833.333333333333</v>
      </c>
      <c r="U10" s="103">
        <f t="shared" si="15"/>
        <v>5833.333333333333</v>
      </c>
      <c r="V10" s="103">
        <f t="shared" si="16"/>
        <v>5833.333333333333</v>
      </c>
      <c r="W10" s="103">
        <f t="shared" si="17"/>
        <v>5833.333333333333</v>
      </c>
      <c r="X10" s="103">
        <f t="shared" si="18"/>
        <v>5833.333333333333</v>
      </c>
      <c r="Y10" s="103">
        <f t="shared" si="19"/>
        <v>5833.333333333333</v>
      </c>
      <c r="Z10" s="103">
        <f t="shared" si="20"/>
        <v>5833.333333333333</v>
      </c>
      <c r="AA10" s="103">
        <f t="shared" si="21"/>
        <v>5833.333333333333</v>
      </c>
      <c r="AB10" s="103">
        <f t="shared" si="22"/>
        <v>5833.333333333333</v>
      </c>
      <c r="AC10" s="103">
        <f t="shared" si="23"/>
        <v>5833.333333333333</v>
      </c>
      <c r="AD10" s="103">
        <f t="shared" si="24"/>
        <v>5833.333333333333</v>
      </c>
      <c r="AE10" s="103">
        <f t="shared" si="25"/>
        <v>5833.333333333333</v>
      </c>
      <c r="AF10" s="103">
        <f t="shared" si="26"/>
        <v>5833.333333333333</v>
      </c>
      <c r="AG10" s="103">
        <f t="shared" si="27"/>
        <v>5833.333333333333</v>
      </c>
      <c r="AH10" s="103">
        <f t="shared" si="28"/>
        <v>5833.333333333333</v>
      </c>
      <c r="AI10" s="103">
        <f t="shared" si="29"/>
        <v>5833.333333333333</v>
      </c>
      <c r="AJ10" s="103">
        <f t="shared" si="30"/>
        <v>5833.333333333333</v>
      </c>
      <c r="AK10" s="103">
        <f t="shared" si="31"/>
        <v>5833.333333333333</v>
      </c>
      <c r="AL10" s="103">
        <f t="shared" si="32"/>
        <v>5833.333333333333</v>
      </c>
      <c r="AM10" s="103">
        <f t="shared" si="33"/>
        <v>5833.333333333333</v>
      </c>
      <c r="AN10" s="103">
        <f t="shared" si="34"/>
        <v>5833.333333333333</v>
      </c>
      <c r="AO10" s="3">
        <f t="shared" si="35"/>
        <v>5833.333333333333</v>
      </c>
    </row>
    <row r="11" spans="1:41" ht="14.25" customHeight="1" x14ac:dyDescent="0.45">
      <c r="A11" s="25" t="s">
        <v>401</v>
      </c>
      <c r="B11" s="68" t="s">
        <v>400</v>
      </c>
      <c r="C11" s="26">
        <v>50000</v>
      </c>
      <c r="D11" s="26">
        <v>16</v>
      </c>
      <c r="E11" s="68" t="s">
        <v>396</v>
      </c>
      <c r="F11" s="68">
        <f t="shared" si="0"/>
        <v>0</v>
      </c>
      <c r="G11" s="68">
        <f t="shared" si="1"/>
        <v>0</v>
      </c>
      <c r="H11" s="68">
        <f t="shared" si="2"/>
        <v>0</v>
      </c>
      <c r="I11" s="68">
        <f t="shared" si="3"/>
        <v>0</v>
      </c>
      <c r="J11" s="68">
        <f t="shared" si="4"/>
        <v>0</v>
      </c>
      <c r="K11" s="68">
        <f t="shared" si="5"/>
        <v>0</v>
      </c>
      <c r="L11" s="68">
        <f t="shared" si="6"/>
        <v>0</v>
      </c>
      <c r="M11" s="68">
        <f t="shared" si="7"/>
        <v>0</v>
      </c>
      <c r="N11" s="68">
        <f t="shared" si="8"/>
        <v>0</v>
      </c>
      <c r="O11" s="68">
        <f t="shared" si="9"/>
        <v>0</v>
      </c>
      <c r="P11" s="68">
        <f t="shared" si="10"/>
        <v>0</v>
      </c>
      <c r="Q11" s="68">
        <f t="shared" si="11"/>
        <v>0</v>
      </c>
      <c r="R11" s="68">
        <f t="shared" si="12"/>
        <v>0</v>
      </c>
      <c r="S11" s="68">
        <f t="shared" si="13"/>
        <v>0</v>
      </c>
      <c r="T11" s="68">
        <f t="shared" si="14"/>
        <v>0</v>
      </c>
      <c r="U11" s="68">
        <f t="shared" si="15"/>
        <v>4166.666666666667</v>
      </c>
      <c r="V11" s="68">
        <f t="shared" si="16"/>
        <v>4166.666666666667</v>
      </c>
      <c r="W11" s="68">
        <f t="shared" si="17"/>
        <v>4166.666666666667</v>
      </c>
      <c r="X11" s="68">
        <f t="shared" si="18"/>
        <v>4166.666666666667</v>
      </c>
      <c r="Y11" s="68">
        <f t="shared" si="19"/>
        <v>4166.666666666667</v>
      </c>
      <c r="Z11" s="68">
        <f t="shared" si="20"/>
        <v>4166.666666666667</v>
      </c>
      <c r="AA11" s="68">
        <f t="shared" si="21"/>
        <v>4166.666666666667</v>
      </c>
      <c r="AB11" s="68">
        <f t="shared" si="22"/>
        <v>4166.666666666667</v>
      </c>
      <c r="AC11" s="68">
        <f t="shared" si="23"/>
        <v>4166.666666666667</v>
      </c>
      <c r="AD11" s="68">
        <f t="shared" si="24"/>
        <v>4166.666666666667</v>
      </c>
      <c r="AE11" s="68">
        <f t="shared" si="25"/>
        <v>4166.666666666667</v>
      </c>
      <c r="AF11" s="68">
        <f t="shared" si="26"/>
        <v>4166.666666666667</v>
      </c>
      <c r="AG11" s="68">
        <f t="shared" si="27"/>
        <v>4166.666666666667</v>
      </c>
      <c r="AH11" s="68">
        <f t="shared" si="28"/>
        <v>4166.666666666667</v>
      </c>
      <c r="AI11" s="68">
        <f t="shared" si="29"/>
        <v>4166.666666666667</v>
      </c>
      <c r="AJ11" s="68">
        <f t="shared" si="30"/>
        <v>4166.666666666667</v>
      </c>
      <c r="AK11" s="68">
        <f t="shared" si="31"/>
        <v>4166.666666666667</v>
      </c>
      <c r="AL11" s="68">
        <f t="shared" si="32"/>
        <v>4166.666666666667</v>
      </c>
      <c r="AM11" s="68">
        <f t="shared" si="33"/>
        <v>4166.666666666667</v>
      </c>
      <c r="AN11" s="68">
        <f t="shared" si="34"/>
        <v>4166.666666666667</v>
      </c>
      <c r="AO11" s="3">
        <f t="shared" si="35"/>
        <v>4166.666666666667</v>
      </c>
    </row>
    <row r="12" spans="1:41" ht="14.25" customHeight="1" x14ac:dyDescent="0.45">
      <c r="A12" s="23" t="s">
        <v>402</v>
      </c>
      <c r="B12" s="103" t="s">
        <v>390</v>
      </c>
      <c r="C12" s="24">
        <v>78000</v>
      </c>
      <c r="D12" s="24">
        <v>14</v>
      </c>
      <c r="E12" s="103" t="s">
        <v>392</v>
      </c>
      <c r="F12" s="103">
        <f t="shared" si="0"/>
        <v>0</v>
      </c>
      <c r="G12" s="103">
        <f t="shared" si="1"/>
        <v>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3">
        <f t="shared" si="5"/>
        <v>0</v>
      </c>
      <c r="L12" s="103">
        <f t="shared" si="6"/>
        <v>0</v>
      </c>
      <c r="M12" s="103">
        <f t="shared" si="7"/>
        <v>0</v>
      </c>
      <c r="N12" s="103">
        <f t="shared" si="8"/>
        <v>0</v>
      </c>
      <c r="O12" s="103">
        <f t="shared" si="9"/>
        <v>0</v>
      </c>
      <c r="P12" s="103">
        <f t="shared" si="10"/>
        <v>0</v>
      </c>
      <c r="Q12" s="103">
        <f t="shared" si="11"/>
        <v>0</v>
      </c>
      <c r="R12" s="103">
        <f t="shared" si="12"/>
        <v>0</v>
      </c>
      <c r="S12" s="103">
        <f t="shared" si="13"/>
        <v>6500</v>
      </c>
      <c r="T12" s="103">
        <f t="shared" si="14"/>
        <v>6500</v>
      </c>
      <c r="U12" s="103">
        <f t="shared" si="15"/>
        <v>6500</v>
      </c>
      <c r="V12" s="103">
        <f t="shared" si="16"/>
        <v>6500</v>
      </c>
      <c r="W12" s="103">
        <f t="shared" si="17"/>
        <v>6500</v>
      </c>
      <c r="X12" s="103">
        <f t="shared" si="18"/>
        <v>6500</v>
      </c>
      <c r="Y12" s="103">
        <f t="shared" si="19"/>
        <v>6500</v>
      </c>
      <c r="Z12" s="103">
        <f t="shared" si="20"/>
        <v>6500</v>
      </c>
      <c r="AA12" s="103">
        <f t="shared" si="21"/>
        <v>6500</v>
      </c>
      <c r="AB12" s="103">
        <f t="shared" si="22"/>
        <v>6500</v>
      </c>
      <c r="AC12" s="103">
        <f t="shared" si="23"/>
        <v>6500</v>
      </c>
      <c r="AD12" s="103">
        <f t="shared" si="24"/>
        <v>6500</v>
      </c>
      <c r="AE12" s="103">
        <f t="shared" si="25"/>
        <v>6500</v>
      </c>
      <c r="AF12" s="103">
        <f t="shared" si="26"/>
        <v>6500</v>
      </c>
      <c r="AG12" s="103">
        <f t="shared" si="27"/>
        <v>6500</v>
      </c>
      <c r="AH12" s="103">
        <f t="shared" si="28"/>
        <v>6500</v>
      </c>
      <c r="AI12" s="103">
        <f t="shared" si="29"/>
        <v>6500</v>
      </c>
      <c r="AJ12" s="103">
        <f t="shared" si="30"/>
        <v>6500</v>
      </c>
      <c r="AK12" s="103">
        <f t="shared" si="31"/>
        <v>6500</v>
      </c>
      <c r="AL12" s="103">
        <f t="shared" si="32"/>
        <v>6500</v>
      </c>
      <c r="AM12" s="103">
        <f t="shared" si="33"/>
        <v>6500</v>
      </c>
      <c r="AN12" s="103">
        <f t="shared" si="34"/>
        <v>6500</v>
      </c>
      <c r="AO12" s="3">
        <f t="shared" si="35"/>
        <v>6500</v>
      </c>
    </row>
    <row r="13" spans="1:41" ht="14.25" customHeight="1" x14ac:dyDescent="0.45">
      <c r="A13" s="25" t="s">
        <v>403</v>
      </c>
      <c r="B13" s="68" t="s">
        <v>400</v>
      </c>
      <c r="C13" s="26">
        <v>65000</v>
      </c>
      <c r="D13" s="26">
        <v>16</v>
      </c>
      <c r="E13" s="68" t="s">
        <v>396</v>
      </c>
      <c r="F13" s="68">
        <f t="shared" si="0"/>
        <v>0</v>
      </c>
      <c r="G13" s="68">
        <f t="shared" si="1"/>
        <v>0</v>
      </c>
      <c r="H13" s="68">
        <f t="shared" si="2"/>
        <v>0</v>
      </c>
      <c r="I13" s="68">
        <f t="shared" si="3"/>
        <v>0</v>
      </c>
      <c r="J13" s="68">
        <f t="shared" si="4"/>
        <v>0</v>
      </c>
      <c r="K13" s="68">
        <f t="shared" si="5"/>
        <v>0</v>
      </c>
      <c r="L13" s="68">
        <f t="shared" si="6"/>
        <v>0</v>
      </c>
      <c r="M13" s="68">
        <f t="shared" si="7"/>
        <v>0</v>
      </c>
      <c r="N13" s="68">
        <f t="shared" si="8"/>
        <v>0</v>
      </c>
      <c r="O13" s="68">
        <f t="shared" si="9"/>
        <v>0</v>
      </c>
      <c r="P13" s="68">
        <f t="shared" si="10"/>
        <v>0</v>
      </c>
      <c r="Q13" s="68">
        <f t="shared" si="11"/>
        <v>0</v>
      </c>
      <c r="R13" s="68">
        <f t="shared" si="12"/>
        <v>0</v>
      </c>
      <c r="S13" s="68">
        <f t="shared" si="13"/>
        <v>0</v>
      </c>
      <c r="T13" s="68">
        <f t="shared" si="14"/>
        <v>0</v>
      </c>
      <c r="U13" s="68">
        <f t="shared" si="15"/>
        <v>5416.666666666667</v>
      </c>
      <c r="V13" s="68">
        <f t="shared" si="16"/>
        <v>5416.666666666667</v>
      </c>
      <c r="W13" s="68">
        <f t="shared" si="17"/>
        <v>5416.666666666667</v>
      </c>
      <c r="X13" s="68">
        <f t="shared" si="18"/>
        <v>5416.666666666667</v>
      </c>
      <c r="Y13" s="68">
        <f t="shared" si="19"/>
        <v>5416.666666666667</v>
      </c>
      <c r="Z13" s="68">
        <f t="shared" si="20"/>
        <v>5416.666666666667</v>
      </c>
      <c r="AA13" s="68">
        <f t="shared" si="21"/>
        <v>5416.666666666667</v>
      </c>
      <c r="AB13" s="68">
        <f t="shared" si="22"/>
        <v>5416.666666666667</v>
      </c>
      <c r="AC13" s="68">
        <f t="shared" si="23"/>
        <v>5416.666666666667</v>
      </c>
      <c r="AD13" s="68">
        <f t="shared" si="24"/>
        <v>5416.666666666667</v>
      </c>
      <c r="AE13" s="68">
        <f t="shared" si="25"/>
        <v>5416.666666666667</v>
      </c>
      <c r="AF13" s="68">
        <f t="shared" si="26"/>
        <v>5416.666666666667</v>
      </c>
      <c r="AG13" s="68">
        <f t="shared" si="27"/>
        <v>5416.666666666667</v>
      </c>
      <c r="AH13" s="68">
        <f t="shared" si="28"/>
        <v>5416.666666666667</v>
      </c>
      <c r="AI13" s="68">
        <f t="shared" si="29"/>
        <v>5416.666666666667</v>
      </c>
      <c r="AJ13" s="68">
        <f t="shared" si="30"/>
        <v>5416.666666666667</v>
      </c>
      <c r="AK13" s="68">
        <f t="shared" si="31"/>
        <v>5416.666666666667</v>
      </c>
      <c r="AL13" s="68">
        <f t="shared" si="32"/>
        <v>5416.666666666667</v>
      </c>
      <c r="AM13" s="68">
        <f t="shared" si="33"/>
        <v>5416.666666666667</v>
      </c>
      <c r="AN13" s="68">
        <f t="shared" si="34"/>
        <v>5416.666666666667</v>
      </c>
      <c r="AO13" s="3">
        <f t="shared" si="35"/>
        <v>5416.666666666667</v>
      </c>
    </row>
    <row r="14" spans="1:41" ht="14.25" customHeight="1" x14ac:dyDescent="0.45">
      <c r="A14" s="23" t="s">
        <v>404</v>
      </c>
      <c r="B14" s="103" t="s">
        <v>387</v>
      </c>
      <c r="C14" s="24">
        <v>160000</v>
      </c>
      <c r="D14" s="24">
        <v>99</v>
      </c>
      <c r="E14" s="103" t="s">
        <v>396</v>
      </c>
      <c r="F14" s="103">
        <f t="shared" si="0"/>
        <v>0</v>
      </c>
      <c r="G14" s="103">
        <f t="shared" si="1"/>
        <v>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3">
        <f t="shared" si="5"/>
        <v>0</v>
      </c>
      <c r="L14" s="103">
        <f t="shared" si="6"/>
        <v>0</v>
      </c>
      <c r="M14" s="103">
        <f t="shared" si="7"/>
        <v>0</v>
      </c>
      <c r="N14" s="103">
        <f t="shared" si="8"/>
        <v>0</v>
      </c>
      <c r="O14" s="103">
        <f t="shared" si="9"/>
        <v>0</v>
      </c>
      <c r="P14" s="103">
        <f t="shared" si="10"/>
        <v>0</v>
      </c>
      <c r="Q14" s="103">
        <f t="shared" si="11"/>
        <v>0</v>
      </c>
      <c r="R14" s="103">
        <f t="shared" si="12"/>
        <v>0</v>
      </c>
      <c r="S14" s="103">
        <f t="shared" si="13"/>
        <v>0</v>
      </c>
      <c r="T14" s="103">
        <f t="shared" si="14"/>
        <v>0</v>
      </c>
      <c r="U14" s="103">
        <f t="shared" si="15"/>
        <v>0</v>
      </c>
      <c r="V14" s="103">
        <f t="shared" si="16"/>
        <v>0</v>
      </c>
      <c r="W14" s="103">
        <f t="shared" si="17"/>
        <v>0</v>
      </c>
      <c r="X14" s="103">
        <f t="shared" si="18"/>
        <v>0</v>
      </c>
      <c r="Y14" s="103">
        <f t="shared" si="19"/>
        <v>0</v>
      </c>
      <c r="Z14" s="103">
        <f t="shared" si="20"/>
        <v>0</v>
      </c>
      <c r="AA14" s="103">
        <f t="shared" si="21"/>
        <v>0</v>
      </c>
      <c r="AB14" s="103">
        <f t="shared" si="22"/>
        <v>0</v>
      </c>
      <c r="AC14" s="103">
        <f t="shared" si="23"/>
        <v>0</v>
      </c>
      <c r="AD14" s="103">
        <f t="shared" si="24"/>
        <v>0</v>
      </c>
      <c r="AE14" s="103">
        <f t="shared" si="25"/>
        <v>0</v>
      </c>
      <c r="AF14" s="103">
        <f t="shared" si="26"/>
        <v>0</v>
      </c>
      <c r="AG14" s="103">
        <f t="shared" si="27"/>
        <v>0</v>
      </c>
      <c r="AH14" s="103">
        <f t="shared" si="28"/>
        <v>0</v>
      </c>
      <c r="AI14" s="103">
        <f t="shared" si="29"/>
        <v>0</v>
      </c>
      <c r="AJ14" s="103">
        <f t="shared" si="30"/>
        <v>0</v>
      </c>
      <c r="AK14" s="103">
        <f t="shared" si="31"/>
        <v>0</v>
      </c>
      <c r="AL14" s="103">
        <f t="shared" si="32"/>
        <v>0</v>
      </c>
      <c r="AM14" s="103">
        <f t="shared" si="33"/>
        <v>0</v>
      </c>
      <c r="AN14" s="103">
        <f t="shared" si="34"/>
        <v>0</v>
      </c>
      <c r="AO14" s="3">
        <f t="shared" si="35"/>
        <v>0</v>
      </c>
    </row>
    <row r="15" spans="1:41" ht="14.25" customHeight="1" x14ac:dyDescent="0.45">
      <c r="A15" s="25" t="s">
        <v>405</v>
      </c>
      <c r="B15" s="68" t="s">
        <v>390</v>
      </c>
      <c r="C15" s="26">
        <v>95000</v>
      </c>
      <c r="D15" s="26">
        <v>18</v>
      </c>
      <c r="E15" s="68" t="s">
        <v>392</v>
      </c>
      <c r="F15" s="68">
        <f t="shared" si="0"/>
        <v>0</v>
      </c>
      <c r="G15" s="68">
        <f t="shared" si="1"/>
        <v>0</v>
      </c>
      <c r="H15" s="68">
        <f t="shared" si="2"/>
        <v>0</v>
      </c>
      <c r="I15" s="68">
        <f t="shared" si="3"/>
        <v>0</v>
      </c>
      <c r="J15" s="68">
        <f t="shared" si="4"/>
        <v>0</v>
      </c>
      <c r="K15" s="68">
        <f t="shared" si="5"/>
        <v>0</v>
      </c>
      <c r="L15" s="68">
        <f t="shared" si="6"/>
        <v>0</v>
      </c>
      <c r="M15" s="68">
        <f t="shared" si="7"/>
        <v>0</v>
      </c>
      <c r="N15" s="68">
        <f t="shared" si="8"/>
        <v>0</v>
      </c>
      <c r="O15" s="68">
        <f t="shared" si="9"/>
        <v>0</v>
      </c>
      <c r="P15" s="68">
        <f t="shared" si="10"/>
        <v>0</v>
      </c>
      <c r="Q15" s="68">
        <f t="shared" si="11"/>
        <v>0</v>
      </c>
      <c r="R15" s="68">
        <f t="shared" si="12"/>
        <v>0</v>
      </c>
      <c r="S15" s="68">
        <f t="shared" si="13"/>
        <v>0</v>
      </c>
      <c r="T15" s="68">
        <f t="shared" si="14"/>
        <v>0</v>
      </c>
      <c r="U15" s="68">
        <f t="shared" si="15"/>
        <v>0</v>
      </c>
      <c r="V15" s="68">
        <f t="shared" si="16"/>
        <v>0</v>
      </c>
      <c r="W15" s="68">
        <f t="shared" si="17"/>
        <v>7916.666666666667</v>
      </c>
      <c r="X15" s="68">
        <f t="shared" si="18"/>
        <v>7916.666666666667</v>
      </c>
      <c r="Y15" s="68">
        <f t="shared" si="19"/>
        <v>7916.666666666667</v>
      </c>
      <c r="Z15" s="68">
        <f t="shared" si="20"/>
        <v>7916.666666666667</v>
      </c>
      <c r="AA15" s="68">
        <f t="shared" si="21"/>
        <v>7916.666666666667</v>
      </c>
      <c r="AB15" s="68">
        <f t="shared" si="22"/>
        <v>7916.666666666667</v>
      </c>
      <c r="AC15" s="68">
        <f t="shared" si="23"/>
        <v>7916.666666666667</v>
      </c>
      <c r="AD15" s="68">
        <f t="shared" si="24"/>
        <v>7916.666666666667</v>
      </c>
      <c r="AE15" s="68">
        <f t="shared" si="25"/>
        <v>7916.666666666667</v>
      </c>
      <c r="AF15" s="68">
        <f t="shared" si="26"/>
        <v>7916.666666666667</v>
      </c>
      <c r="AG15" s="68">
        <f t="shared" si="27"/>
        <v>7916.666666666667</v>
      </c>
      <c r="AH15" s="68">
        <f t="shared" si="28"/>
        <v>7916.666666666667</v>
      </c>
      <c r="AI15" s="68">
        <f t="shared" si="29"/>
        <v>7916.666666666667</v>
      </c>
      <c r="AJ15" s="68">
        <f t="shared" si="30"/>
        <v>7916.666666666667</v>
      </c>
      <c r="AK15" s="68">
        <f t="shared" si="31"/>
        <v>7916.666666666667</v>
      </c>
      <c r="AL15" s="68">
        <f t="shared" si="32"/>
        <v>7916.666666666667</v>
      </c>
      <c r="AM15" s="68">
        <f t="shared" si="33"/>
        <v>7916.666666666667</v>
      </c>
      <c r="AN15" s="68">
        <f t="shared" si="34"/>
        <v>7916.666666666667</v>
      </c>
      <c r="AO15" s="3">
        <f t="shared" si="35"/>
        <v>7916.666666666667</v>
      </c>
    </row>
    <row r="16" spans="1:41" ht="14.25" customHeight="1" x14ac:dyDescent="0.45">
      <c r="A16" s="23" t="s">
        <v>406</v>
      </c>
      <c r="B16" s="103" t="s">
        <v>407</v>
      </c>
      <c r="C16" s="24">
        <v>115000</v>
      </c>
      <c r="D16" s="24">
        <v>20</v>
      </c>
      <c r="E16" s="103" t="s">
        <v>396</v>
      </c>
      <c r="F16" s="103">
        <f t="shared" si="0"/>
        <v>0</v>
      </c>
      <c r="G16" s="103">
        <f t="shared" si="1"/>
        <v>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3">
        <f t="shared" si="5"/>
        <v>0</v>
      </c>
      <c r="L16" s="103">
        <f t="shared" si="6"/>
        <v>0</v>
      </c>
      <c r="M16" s="103">
        <f t="shared" si="7"/>
        <v>0</v>
      </c>
      <c r="N16" s="103">
        <f t="shared" si="8"/>
        <v>0</v>
      </c>
      <c r="O16" s="103">
        <f t="shared" si="9"/>
        <v>0</v>
      </c>
      <c r="P16" s="103">
        <f t="shared" si="10"/>
        <v>0</v>
      </c>
      <c r="Q16" s="103">
        <f t="shared" si="11"/>
        <v>0</v>
      </c>
      <c r="R16" s="103">
        <f t="shared" si="12"/>
        <v>0</v>
      </c>
      <c r="S16" s="103">
        <f t="shared" si="13"/>
        <v>0</v>
      </c>
      <c r="T16" s="103">
        <f t="shared" si="14"/>
        <v>0</v>
      </c>
      <c r="U16" s="103">
        <f t="shared" si="15"/>
        <v>0</v>
      </c>
      <c r="V16" s="103">
        <f t="shared" si="16"/>
        <v>0</v>
      </c>
      <c r="W16" s="103">
        <f t="shared" si="17"/>
        <v>0</v>
      </c>
      <c r="X16" s="103">
        <f t="shared" si="18"/>
        <v>0</v>
      </c>
      <c r="Y16" s="103">
        <f t="shared" si="19"/>
        <v>9583.3333333333339</v>
      </c>
      <c r="Z16" s="103">
        <f t="shared" si="20"/>
        <v>9583.3333333333339</v>
      </c>
      <c r="AA16" s="103">
        <f t="shared" si="21"/>
        <v>9583.3333333333339</v>
      </c>
      <c r="AB16" s="103">
        <f t="shared" si="22"/>
        <v>9583.3333333333339</v>
      </c>
      <c r="AC16" s="103">
        <f t="shared" si="23"/>
        <v>9583.3333333333339</v>
      </c>
      <c r="AD16" s="103">
        <f t="shared" si="24"/>
        <v>9583.3333333333339</v>
      </c>
      <c r="AE16" s="103">
        <f t="shared" si="25"/>
        <v>9583.3333333333339</v>
      </c>
      <c r="AF16" s="103">
        <f t="shared" si="26"/>
        <v>9583.3333333333339</v>
      </c>
      <c r="AG16" s="103">
        <f t="shared" si="27"/>
        <v>9583.3333333333339</v>
      </c>
      <c r="AH16" s="103">
        <f t="shared" si="28"/>
        <v>9583.3333333333339</v>
      </c>
      <c r="AI16" s="103">
        <f t="shared" si="29"/>
        <v>9583.3333333333339</v>
      </c>
      <c r="AJ16" s="103">
        <f t="shared" si="30"/>
        <v>9583.3333333333339</v>
      </c>
      <c r="AK16" s="103">
        <f t="shared" si="31"/>
        <v>9583.3333333333339</v>
      </c>
      <c r="AL16" s="103">
        <f t="shared" si="32"/>
        <v>9583.3333333333339</v>
      </c>
      <c r="AM16" s="103">
        <f t="shared" si="33"/>
        <v>9583.3333333333339</v>
      </c>
      <c r="AN16" s="103">
        <f t="shared" si="34"/>
        <v>9583.3333333333339</v>
      </c>
      <c r="AO16" s="3">
        <f t="shared" si="35"/>
        <v>9583.3333333333339</v>
      </c>
    </row>
    <row r="17" spans="1:41" ht="14.25" customHeight="1" x14ac:dyDescent="0.45">
      <c r="A17" s="25" t="s">
        <v>408</v>
      </c>
      <c r="B17" s="68" t="s">
        <v>390</v>
      </c>
      <c r="C17" s="26">
        <v>78000</v>
      </c>
      <c r="D17" s="26">
        <v>23</v>
      </c>
      <c r="E17" s="68" t="s">
        <v>392</v>
      </c>
      <c r="F17" s="68">
        <f t="shared" si="0"/>
        <v>0</v>
      </c>
      <c r="G17" s="68">
        <f t="shared" si="1"/>
        <v>0</v>
      </c>
      <c r="H17" s="68">
        <f t="shared" si="2"/>
        <v>0</v>
      </c>
      <c r="I17" s="68">
        <f t="shared" si="3"/>
        <v>0</v>
      </c>
      <c r="J17" s="68">
        <f t="shared" si="4"/>
        <v>0</v>
      </c>
      <c r="K17" s="68">
        <f t="shared" si="5"/>
        <v>0</v>
      </c>
      <c r="L17" s="68">
        <f t="shared" si="6"/>
        <v>0</v>
      </c>
      <c r="M17" s="68">
        <f t="shared" si="7"/>
        <v>0</v>
      </c>
      <c r="N17" s="68">
        <f t="shared" si="8"/>
        <v>0</v>
      </c>
      <c r="O17" s="68">
        <f t="shared" si="9"/>
        <v>0</v>
      </c>
      <c r="P17" s="68">
        <f t="shared" si="10"/>
        <v>0</v>
      </c>
      <c r="Q17" s="68">
        <f t="shared" si="11"/>
        <v>0</v>
      </c>
      <c r="R17" s="68">
        <f t="shared" si="12"/>
        <v>0</v>
      </c>
      <c r="S17" s="68">
        <f t="shared" si="13"/>
        <v>0</v>
      </c>
      <c r="T17" s="68">
        <f t="shared" si="14"/>
        <v>0</v>
      </c>
      <c r="U17" s="68">
        <f t="shared" si="15"/>
        <v>0</v>
      </c>
      <c r="V17" s="68">
        <f t="shared" si="16"/>
        <v>0</v>
      </c>
      <c r="W17" s="68">
        <f t="shared" si="17"/>
        <v>0</v>
      </c>
      <c r="X17" s="68">
        <f t="shared" si="18"/>
        <v>0</v>
      </c>
      <c r="Y17" s="68">
        <f t="shared" si="19"/>
        <v>0</v>
      </c>
      <c r="Z17" s="68">
        <f t="shared" si="20"/>
        <v>0</v>
      </c>
      <c r="AA17" s="68">
        <f t="shared" si="21"/>
        <v>0</v>
      </c>
      <c r="AB17" s="68">
        <f t="shared" si="22"/>
        <v>6500</v>
      </c>
      <c r="AC17" s="68">
        <f t="shared" si="23"/>
        <v>6500</v>
      </c>
      <c r="AD17" s="68">
        <f t="shared" si="24"/>
        <v>6500</v>
      </c>
      <c r="AE17" s="68">
        <f t="shared" si="25"/>
        <v>6500</v>
      </c>
      <c r="AF17" s="68">
        <f t="shared" si="26"/>
        <v>6500</v>
      </c>
      <c r="AG17" s="68">
        <f t="shared" si="27"/>
        <v>6500</v>
      </c>
      <c r="AH17" s="68">
        <f t="shared" si="28"/>
        <v>6500</v>
      </c>
      <c r="AI17" s="68">
        <f t="shared" si="29"/>
        <v>6500</v>
      </c>
      <c r="AJ17" s="68">
        <f t="shared" si="30"/>
        <v>6500</v>
      </c>
      <c r="AK17" s="68">
        <f t="shared" si="31"/>
        <v>6500</v>
      </c>
      <c r="AL17" s="68">
        <f t="shared" si="32"/>
        <v>6500</v>
      </c>
      <c r="AM17" s="68">
        <f t="shared" si="33"/>
        <v>6500</v>
      </c>
      <c r="AN17" s="68">
        <f t="shared" si="34"/>
        <v>6500</v>
      </c>
      <c r="AO17" s="3">
        <f t="shared" si="35"/>
        <v>6500</v>
      </c>
    </row>
    <row r="18" spans="1:41" ht="14.25" customHeight="1" x14ac:dyDescent="0.45">
      <c r="A18" s="23" t="s">
        <v>409</v>
      </c>
      <c r="B18" s="103" t="s">
        <v>398</v>
      </c>
      <c r="C18" s="24">
        <v>88000</v>
      </c>
      <c r="D18" s="24">
        <v>25</v>
      </c>
      <c r="E18" s="103" t="s">
        <v>396</v>
      </c>
      <c r="F18" s="103">
        <f t="shared" si="0"/>
        <v>0</v>
      </c>
      <c r="G18" s="103">
        <f t="shared" si="1"/>
        <v>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3">
        <f t="shared" si="5"/>
        <v>0</v>
      </c>
      <c r="L18" s="103">
        <f t="shared" si="6"/>
        <v>0</v>
      </c>
      <c r="M18" s="103">
        <f t="shared" si="7"/>
        <v>0</v>
      </c>
      <c r="N18" s="103">
        <f t="shared" si="8"/>
        <v>0</v>
      </c>
      <c r="O18" s="103">
        <f t="shared" si="9"/>
        <v>0</v>
      </c>
      <c r="P18" s="103">
        <f t="shared" si="10"/>
        <v>0</v>
      </c>
      <c r="Q18" s="103">
        <f t="shared" si="11"/>
        <v>0</v>
      </c>
      <c r="R18" s="103">
        <f t="shared" si="12"/>
        <v>0</v>
      </c>
      <c r="S18" s="103">
        <f t="shared" si="13"/>
        <v>0</v>
      </c>
      <c r="T18" s="103">
        <f t="shared" si="14"/>
        <v>0</v>
      </c>
      <c r="U18" s="103">
        <f t="shared" si="15"/>
        <v>0</v>
      </c>
      <c r="V18" s="103">
        <f t="shared" si="16"/>
        <v>0</v>
      </c>
      <c r="W18" s="103">
        <f t="shared" si="17"/>
        <v>0</v>
      </c>
      <c r="X18" s="103">
        <f t="shared" si="18"/>
        <v>0</v>
      </c>
      <c r="Y18" s="103">
        <f t="shared" si="19"/>
        <v>0</v>
      </c>
      <c r="Z18" s="103">
        <f t="shared" si="20"/>
        <v>0</v>
      </c>
      <c r="AA18" s="103">
        <f t="shared" si="21"/>
        <v>0</v>
      </c>
      <c r="AB18" s="103">
        <f t="shared" si="22"/>
        <v>0</v>
      </c>
      <c r="AC18" s="103">
        <f t="shared" si="23"/>
        <v>0</v>
      </c>
      <c r="AD18" s="103">
        <f t="shared" si="24"/>
        <v>7333.333333333333</v>
      </c>
      <c r="AE18" s="103">
        <f t="shared" si="25"/>
        <v>7333.333333333333</v>
      </c>
      <c r="AF18" s="103">
        <f t="shared" si="26"/>
        <v>7333.333333333333</v>
      </c>
      <c r="AG18" s="103">
        <f t="shared" si="27"/>
        <v>7333.333333333333</v>
      </c>
      <c r="AH18" s="103">
        <f t="shared" si="28"/>
        <v>7333.333333333333</v>
      </c>
      <c r="AI18" s="103">
        <f t="shared" si="29"/>
        <v>7333.333333333333</v>
      </c>
      <c r="AJ18" s="103">
        <f t="shared" si="30"/>
        <v>7333.333333333333</v>
      </c>
      <c r="AK18" s="103">
        <f t="shared" si="31"/>
        <v>7333.333333333333</v>
      </c>
      <c r="AL18" s="103">
        <f t="shared" si="32"/>
        <v>7333.333333333333</v>
      </c>
      <c r="AM18" s="103">
        <f t="shared" si="33"/>
        <v>7333.333333333333</v>
      </c>
      <c r="AN18" s="103">
        <f t="shared" si="34"/>
        <v>7333.333333333333</v>
      </c>
      <c r="AO18" s="3">
        <f t="shared" si="35"/>
        <v>7333.333333333333</v>
      </c>
    </row>
    <row r="19" spans="1:41" ht="14.25" customHeight="1" x14ac:dyDescent="0.45">
      <c r="A19" s="25" t="s">
        <v>410</v>
      </c>
      <c r="B19" s="68" t="s">
        <v>395</v>
      </c>
      <c r="C19" s="26">
        <v>82000</v>
      </c>
      <c r="D19" s="26">
        <v>4</v>
      </c>
      <c r="E19" s="68" t="s">
        <v>396</v>
      </c>
      <c r="F19" s="68">
        <f t="shared" si="0"/>
        <v>0</v>
      </c>
      <c r="G19" s="68">
        <f t="shared" si="1"/>
        <v>0</v>
      </c>
      <c r="H19" s="68">
        <f t="shared" si="2"/>
        <v>0</v>
      </c>
      <c r="I19" s="68">
        <f t="shared" si="3"/>
        <v>6833.333333333333</v>
      </c>
      <c r="J19" s="68">
        <f t="shared" si="4"/>
        <v>6833.333333333333</v>
      </c>
      <c r="K19" s="68">
        <f t="shared" si="5"/>
        <v>6833.333333333333</v>
      </c>
      <c r="L19" s="68">
        <f t="shared" si="6"/>
        <v>6833.333333333333</v>
      </c>
      <c r="M19" s="68">
        <f t="shared" si="7"/>
        <v>6833.333333333333</v>
      </c>
      <c r="N19" s="68">
        <f t="shared" si="8"/>
        <v>6833.333333333333</v>
      </c>
      <c r="O19" s="68">
        <f t="shared" si="9"/>
        <v>6833.333333333333</v>
      </c>
      <c r="P19" s="68">
        <f t="shared" si="10"/>
        <v>6833.333333333333</v>
      </c>
      <c r="Q19" s="68">
        <f t="shared" si="11"/>
        <v>6833.333333333333</v>
      </c>
      <c r="R19" s="68">
        <f t="shared" si="12"/>
        <v>6833.333333333333</v>
      </c>
      <c r="S19" s="68">
        <f t="shared" si="13"/>
        <v>6833.333333333333</v>
      </c>
      <c r="T19" s="68">
        <f t="shared" si="14"/>
        <v>6833.333333333333</v>
      </c>
      <c r="U19" s="68">
        <f t="shared" si="15"/>
        <v>6833.333333333333</v>
      </c>
      <c r="V19" s="68">
        <f t="shared" si="16"/>
        <v>6833.333333333333</v>
      </c>
      <c r="W19" s="68">
        <f t="shared" si="17"/>
        <v>6833.333333333333</v>
      </c>
      <c r="X19" s="68">
        <f t="shared" si="18"/>
        <v>6833.333333333333</v>
      </c>
      <c r="Y19" s="68">
        <f t="shared" si="19"/>
        <v>6833.333333333333</v>
      </c>
      <c r="Z19" s="68">
        <f t="shared" si="20"/>
        <v>6833.333333333333</v>
      </c>
      <c r="AA19" s="68">
        <f t="shared" si="21"/>
        <v>6833.333333333333</v>
      </c>
      <c r="AB19" s="68">
        <f t="shared" si="22"/>
        <v>6833.333333333333</v>
      </c>
      <c r="AC19" s="68">
        <f t="shared" si="23"/>
        <v>6833.333333333333</v>
      </c>
      <c r="AD19" s="68">
        <f t="shared" si="24"/>
        <v>6833.333333333333</v>
      </c>
      <c r="AE19" s="68">
        <f t="shared" si="25"/>
        <v>6833.333333333333</v>
      </c>
      <c r="AF19" s="68">
        <f t="shared" si="26"/>
        <v>6833.333333333333</v>
      </c>
      <c r="AG19" s="68">
        <f t="shared" si="27"/>
        <v>6833.333333333333</v>
      </c>
      <c r="AH19" s="68">
        <f t="shared" si="28"/>
        <v>6833.333333333333</v>
      </c>
      <c r="AI19" s="68">
        <f t="shared" si="29"/>
        <v>6833.333333333333</v>
      </c>
      <c r="AJ19" s="68">
        <f t="shared" si="30"/>
        <v>6833.333333333333</v>
      </c>
      <c r="AK19" s="68">
        <f t="shared" si="31"/>
        <v>6833.333333333333</v>
      </c>
      <c r="AL19" s="68">
        <f t="shared" si="32"/>
        <v>6833.333333333333</v>
      </c>
      <c r="AM19" s="68">
        <f t="shared" si="33"/>
        <v>6833.333333333333</v>
      </c>
      <c r="AN19" s="68">
        <f t="shared" si="34"/>
        <v>6833.333333333333</v>
      </c>
      <c r="AO19" s="3">
        <f t="shared" si="35"/>
        <v>6833.333333333333</v>
      </c>
    </row>
    <row r="20" spans="1:41" ht="14.25" customHeight="1" x14ac:dyDescent="0.45">
      <c r="A20" s="23" t="s">
        <v>411</v>
      </c>
      <c r="B20" s="103" t="s">
        <v>398</v>
      </c>
      <c r="C20" s="24">
        <v>75000</v>
      </c>
      <c r="D20" s="24">
        <v>25</v>
      </c>
      <c r="E20" s="103" t="s">
        <v>396</v>
      </c>
      <c r="F20" s="103">
        <f t="shared" si="0"/>
        <v>0</v>
      </c>
      <c r="G20" s="103">
        <f t="shared" si="1"/>
        <v>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3">
        <f t="shared" si="5"/>
        <v>0</v>
      </c>
      <c r="L20" s="103">
        <f t="shared" si="6"/>
        <v>0</v>
      </c>
      <c r="M20" s="103">
        <f t="shared" si="7"/>
        <v>0</v>
      </c>
      <c r="N20" s="103">
        <f t="shared" si="8"/>
        <v>0</v>
      </c>
      <c r="O20" s="103">
        <f t="shared" si="9"/>
        <v>0</v>
      </c>
      <c r="P20" s="103">
        <f t="shared" si="10"/>
        <v>0</v>
      </c>
      <c r="Q20" s="103">
        <f t="shared" si="11"/>
        <v>0</v>
      </c>
      <c r="R20" s="103">
        <f t="shared" si="12"/>
        <v>0</v>
      </c>
      <c r="S20" s="103">
        <f t="shared" si="13"/>
        <v>0</v>
      </c>
      <c r="T20" s="103">
        <f t="shared" si="14"/>
        <v>0</v>
      </c>
      <c r="U20" s="103">
        <f t="shared" si="15"/>
        <v>0</v>
      </c>
      <c r="V20" s="103">
        <f t="shared" si="16"/>
        <v>0</v>
      </c>
      <c r="W20" s="103">
        <f t="shared" si="17"/>
        <v>0</v>
      </c>
      <c r="X20" s="103">
        <f t="shared" si="18"/>
        <v>0</v>
      </c>
      <c r="Y20" s="103">
        <f t="shared" si="19"/>
        <v>0</v>
      </c>
      <c r="Z20" s="103">
        <f t="shared" si="20"/>
        <v>0</v>
      </c>
      <c r="AA20" s="103">
        <f t="shared" si="21"/>
        <v>0</v>
      </c>
      <c r="AB20" s="103">
        <f t="shared" si="22"/>
        <v>0</v>
      </c>
      <c r="AC20" s="103">
        <f t="shared" si="23"/>
        <v>0</v>
      </c>
      <c r="AD20" s="103">
        <f t="shared" si="24"/>
        <v>6250</v>
      </c>
      <c r="AE20" s="103">
        <f t="shared" si="25"/>
        <v>6250</v>
      </c>
      <c r="AF20" s="103">
        <f t="shared" si="26"/>
        <v>6250</v>
      </c>
      <c r="AG20" s="103">
        <f t="shared" si="27"/>
        <v>6250</v>
      </c>
      <c r="AH20" s="103">
        <f t="shared" si="28"/>
        <v>6250</v>
      </c>
      <c r="AI20" s="103">
        <f t="shared" si="29"/>
        <v>6250</v>
      </c>
      <c r="AJ20" s="103">
        <f t="shared" si="30"/>
        <v>6250</v>
      </c>
      <c r="AK20" s="103">
        <f t="shared" si="31"/>
        <v>6250</v>
      </c>
      <c r="AL20" s="103">
        <f t="shared" si="32"/>
        <v>6250</v>
      </c>
      <c r="AM20" s="103">
        <f t="shared" si="33"/>
        <v>6250</v>
      </c>
      <c r="AN20" s="103">
        <f t="shared" si="34"/>
        <v>6250</v>
      </c>
      <c r="AO20" s="3">
        <f t="shared" si="35"/>
        <v>6250</v>
      </c>
    </row>
    <row r="21" spans="1:41" ht="14.25" customHeight="1" x14ac:dyDescent="0.45">
      <c r="A21" s="25" t="s">
        <v>412</v>
      </c>
      <c r="B21" s="68" t="s">
        <v>390</v>
      </c>
      <c r="C21" s="26">
        <v>72000</v>
      </c>
      <c r="D21" s="26">
        <v>25</v>
      </c>
      <c r="E21" s="68" t="s">
        <v>392</v>
      </c>
      <c r="F21" s="68">
        <f t="shared" si="0"/>
        <v>0</v>
      </c>
      <c r="G21" s="68">
        <f t="shared" si="1"/>
        <v>0</v>
      </c>
      <c r="H21" s="68">
        <f t="shared" si="2"/>
        <v>0</v>
      </c>
      <c r="I21" s="68">
        <f t="shared" si="3"/>
        <v>0</v>
      </c>
      <c r="J21" s="68">
        <f t="shared" si="4"/>
        <v>0</v>
      </c>
      <c r="K21" s="68">
        <f t="shared" si="5"/>
        <v>0</v>
      </c>
      <c r="L21" s="68">
        <f t="shared" si="6"/>
        <v>0</v>
      </c>
      <c r="M21" s="68">
        <f t="shared" si="7"/>
        <v>0</v>
      </c>
      <c r="N21" s="68">
        <f t="shared" si="8"/>
        <v>0</v>
      </c>
      <c r="O21" s="68">
        <f t="shared" si="9"/>
        <v>0</v>
      </c>
      <c r="P21" s="68">
        <f t="shared" si="10"/>
        <v>0</v>
      </c>
      <c r="Q21" s="68">
        <f t="shared" si="11"/>
        <v>0</v>
      </c>
      <c r="R21" s="68">
        <f t="shared" si="12"/>
        <v>0</v>
      </c>
      <c r="S21" s="68">
        <f t="shared" si="13"/>
        <v>0</v>
      </c>
      <c r="T21" s="68">
        <f t="shared" si="14"/>
        <v>0</v>
      </c>
      <c r="U21" s="68">
        <f t="shared" si="15"/>
        <v>0</v>
      </c>
      <c r="V21" s="68">
        <f t="shared" si="16"/>
        <v>0</v>
      </c>
      <c r="W21" s="68">
        <f t="shared" si="17"/>
        <v>0</v>
      </c>
      <c r="X21" s="68">
        <f t="shared" si="18"/>
        <v>0</v>
      </c>
      <c r="Y21" s="68">
        <f t="shared" si="19"/>
        <v>0</v>
      </c>
      <c r="Z21" s="68">
        <f t="shared" si="20"/>
        <v>0</v>
      </c>
      <c r="AA21" s="68">
        <f t="shared" si="21"/>
        <v>0</v>
      </c>
      <c r="AB21" s="68">
        <f t="shared" si="22"/>
        <v>0</v>
      </c>
      <c r="AC21" s="68">
        <f t="shared" si="23"/>
        <v>0</v>
      </c>
      <c r="AD21" s="68">
        <f t="shared" si="24"/>
        <v>6000</v>
      </c>
      <c r="AE21" s="68">
        <f t="shared" si="25"/>
        <v>6000</v>
      </c>
      <c r="AF21" s="68">
        <f t="shared" si="26"/>
        <v>6000</v>
      </c>
      <c r="AG21" s="68">
        <f t="shared" si="27"/>
        <v>6000</v>
      </c>
      <c r="AH21" s="68">
        <f t="shared" si="28"/>
        <v>6000</v>
      </c>
      <c r="AI21" s="68">
        <f t="shared" si="29"/>
        <v>6000</v>
      </c>
      <c r="AJ21" s="68">
        <f t="shared" si="30"/>
        <v>6000</v>
      </c>
      <c r="AK21" s="68">
        <f t="shared" si="31"/>
        <v>6000</v>
      </c>
      <c r="AL21" s="68">
        <f t="shared" si="32"/>
        <v>6000</v>
      </c>
      <c r="AM21" s="68">
        <f t="shared" si="33"/>
        <v>6000</v>
      </c>
      <c r="AN21" s="68">
        <f t="shared" si="34"/>
        <v>6000</v>
      </c>
      <c r="AO21" s="3">
        <f t="shared" si="35"/>
        <v>6000</v>
      </c>
    </row>
    <row r="22" spans="1:41" ht="14.25" customHeight="1" x14ac:dyDescent="0.45">
      <c r="A22" s="23" t="s">
        <v>413</v>
      </c>
      <c r="B22" s="103" t="s">
        <v>390</v>
      </c>
      <c r="C22" s="24">
        <v>98000</v>
      </c>
      <c r="D22" s="24">
        <v>26</v>
      </c>
      <c r="E22" s="103" t="s">
        <v>392</v>
      </c>
      <c r="F22" s="103">
        <f t="shared" si="0"/>
        <v>0</v>
      </c>
      <c r="G22" s="103">
        <f t="shared" si="1"/>
        <v>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3">
        <f t="shared" si="5"/>
        <v>0</v>
      </c>
      <c r="L22" s="103">
        <f t="shared" si="6"/>
        <v>0</v>
      </c>
      <c r="M22" s="103">
        <f t="shared" si="7"/>
        <v>0</v>
      </c>
      <c r="N22" s="103">
        <f t="shared" si="8"/>
        <v>0</v>
      </c>
      <c r="O22" s="103">
        <f t="shared" si="9"/>
        <v>0</v>
      </c>
      <c r="P22" s="103">
        <f t="shared" si="10"/>
        <v>0</v>
      </c>
      <c r="Q22" s="103">
        <f t="shared" si="11"/>
        <v>0</v>
      </c>
      <c r="R22" s="103">
        <f t="shared" si="12"/>
        <v>0</v>
      </c>
      <c r="S22" s="103">
        <f t="shared" si="13"/>
        <v>0</v>
      </c>
      <c r="T22" s="103">
        <f t="shared" si="14"/>
        <v>0</v>
      </c>
      <c r="U22" s="103">
        <f t="shared" si="15"/>
        <v>0</v>
      </c>
      <c r="V22" s="103">
        <f t="shared" si="16"/>
        <v>0</v>
      </c>
      <c r="W22" s="103">
        <f t="shared" si="17"/>
        <v>0</v>
      </c>
      <c r="X22" s="103">
        <f t="shared" si="18"/>
        <v>0</v>
      </c>
      <c r="Y22" s="103">
        <f t="shared" si="19"/>
        <v>0</v>
      </c>
      <c r="Z22" s="103">
        <f t="shared" si="20"/>
        <v>0</v>
      </c>
      <c r="AA22" s="103">
        <f t="shared" si="21"/>
        <v>0</v>
      </c>
      <c r="AB22" s="103">
        <f t="shared" si="22"/>
        <v>0</v>
      </c>
      <c r="AC22" s="103">
        <f t="shared" si="23"/>
        <v>0</v>
      </c>
      <c r="AD22" s="103">
        <f t="shared" si="24"/>
        <v>0</v>
      </c>
      <c r="AE22" s="103">
        <f t="shared" si="25"/>
        <v>8166.666666666667</v>
      </c>
      <c r="AF22" s="103">
        <f t="shared" si="26"/>
        <v>8166.666666666667</v>
      </c>
      <c r="AG22" s="103">
        <f t="shared" si="27"/>
        <v>8166.666666666667</v>
      </c>
      <c r="AH22" s="103">
        <f t="shared" si="28"/>
        <v>8166.666666666667</v>
      </c>
      <c r="AI22" s="103">
        <f t="shared" si="29"/>
        <v>8166.666666666667</v>
      </c>
      <c r="AJ22" s="103">
        <f t="shared" si="30"/>
        <v>8166.666666666667</v>
      </c>
      <c r="AK22" s="103">
        <f t="shared" si="31"/>
        <v>8166.666666666667</v>
      </c>
      <c r="AL22" s="103">
        <f t="shared" si="32"/>
        <v>8166.666666666667</v>
      </c>
      <c r="AM22" s="103">
        <f t="shared" si="33"/>
        <v>8166.666666666667</v>
      </c>
      <c r="AN22" s="103">
        <f t="shared" si="34"/>
        <v>8166.666666666667</v>
      </c>
      <c r="AO22" s="3">
        <f t="shared" si="35"/>
        <v>8166.666666666667</v>
      </c>
    </row>
    <row r="23" spans="1:41" ht="14.25" customHeight="1" x14ac:dyDescent="0.45">
      <c r="A23" s="25" t="s">
        <v>414</v>
      </c>
      <c r="B23" s="68" t="s">
        <v>400</v>
      </c>
      <c r="C23" s="26">
        <v>72000</v>
      </c>
      <c r="D23" s="26">
        <v>27</v>
      </c>
      <c r="E23" s="68" t="s">
        <v>396</v>
      </c>
      <c r="F23" s="68">
        <f t="shared" si="0"/>
        <v>0</v>
      </c>
      <c r="G23" s="68">
        <f t="shared" si="1"/>
        <v>0</v>
      </c>
      <c r="H23" s="68">
        <f t="shared" si="2"/>
        <v>0</v>
      </c>
      <c r="I23" s="68">
        <f t="shared" si="3"/>
        <v>0</v>
      </c>
      <c r="J23" s="68">
        <f t="shared" si="4"/>
        <v>0</v>
      </c>
      <c r="K23" s="68">
        <f t="shared" si="5"/>
        <v>0</v>
      </c>
      <c r="L23" s="68">
        <f t="shared" si="6"/>
        <v>0</v>
      </c>
      <c r="M23" s="68">
        <f t="shared" si="7"/>
        <v>0</v>
      </c>
      <c r="N23" s="68">
        <f t="shared" si="8"/>
        <v>0</v>
      </c>
      <c r="O23" s="68">
        <f t="shared" si="9"/>
        <v>0</v>
      </c>
      <c r="P23" s="68">
        <f t="shared" si="10"/>
        <v>0</v>
      </c>
      <c r="Q23" s="68">
        <f t="shared" si="11"/>
        <v>0</v>
      </c>
      <c r="R23" s="68">
        <f t="shared" si="12"/>
        <v>0</v>
      </c>
      <c r="S23" s="68">
        <f t="shared" si="13"/>
        <v>0</v>
      </c>
      <c r="T23" s="68">
        <f t="shared" si="14"/>
        <v>0</v>
      </c>
      <c r="U23" s="68">
        <f t="shared" si="15"/>
        <v>0</v>
      </c>
      <c r="V23" s="68">
        <f t="shared" si="16"/>
        <v>0</v>
      </c>
      <c r="W23" s="68">
        <f t="shared" si="17"/>
        <v>0</v>
      </c>
      <c r="X23" s="68">
        <f t="shared" si="18"/>
        <v>0</v>
      </c>
      <c r="Y23" s="68">
        <f t="shared" si="19"/>
        <v>0</v>
      </c>
      <c r="Z23" s="68">
        <f t="shared" si="20"/>
        <v>0</v>
      </c>
      <c r="AA23" s="68">
        <f t="shared" si="21"/>
        <v>0</v>
      </c>
      <c r="AB23" s="68">
        <f t="shared" si="22"/>
        <v>0</v>
      </c>
      <c r="AC23" s="68">
        <f t="shared" si="23"/>
        <v>0</v>
      </c>
      <c r="AD23" s="68">
        <f t="shared" si="24"/>
        <v>0</v>
      </c>
      <c r="AE23" s="68">
        <f t="shared" si="25"/>
        <v>0</v>
      </c>
      <c r="AF23" s="68">
        <f t="shared" si="26"/>
        <v>6000</v>
      </c>
      <c r="AG23" s="68">
        <f t="shared" si="27"/>
        <v>6000</v>
      </c>
      <c r="AH23" s="68">
        <f t="shared" si="28"/>
        <v>6000</v>
      </c>
      <c r="AI23" s="68">
        <f t="shared" si="29"/>
        <v>6000</v>
      </c>
      <c r="AJ23" s="68">
        <f t="shared" si="30"/>
        <v>6000</v>
      </c>
      <c r="AK23" s="68">
        <f t="shared" si="31"/>
        <v>6000</v>
      </c>
      <c r="AL23" s="68">
        <f t="shared" si="32"/>
        <v>6000</v>
      </c>
      <c r="AM23" s="68">
        <f t="shared" si="33"/>
        <v>6000</v>
      </c>
      <c r="AN23" s="68">
        <f t="shared" si="34"/>
        <v>6000</v>
      </c>
      <c r="AO23" s="3">
        <f t="shared" si="35"/>
        <v>6000</v>
      </c>
    </row>
    <row r="24" spans="1:41" ht="14.25" customHeight="1" x14ac:dyDescent="0.45">
      <c r="A24" s="23" t="s">
        <v>415</v>
      </c>
      <c r="B24" s="103" t="s">
        <v>400</v>
      </c>
      <c r="C24" s="24">
        <v>52000</v>
      </c>
      <c r="D24" s="24">
        <v>27</v>
      </c>
      <c r="E24" s="103" t="s">
        <v>396</v>
      </c>
      <c r="F24" s="103">
        <f t="shared" si="0"/>
        <v>0</v>
      </c>
      <c r="G24" s="103">
        <f t="shared" si="1"/>
        <v>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3">
        <f t="shared" si="5"/>
        <v>0</v>
      </c>
      <c r="L24" s="103">
        <f t="shared" si="6"/>
        <v>0</v>
      </c>
      <c r="M24" s="103">
        <f t="shared" si="7"/>
        <v>0</v>
      </c>
      <c r="N24" s="103">
        <f t="shared" si="8"/>
        <v>0</v>
      </c>
      <c r="O24" s="103">
        <f t="shared" si="9"/>
        <v>0</v>
      </c>
      <c r="P24" s="103">
        <f t="shared" si="10"/>
        <v>0</v>
      </c>
      <c r="Q24" s="103">
        <f t="shared" si="11"/>
        <v>0</v>
      </c>
      <c r="R24" s="103">
        <f t="shared" si="12"/>
        <v>0</v>
      </c>
      <c r="S24" s="103">
        <f t="shared" si="13"/>
        <v>0</v>
      </c>
      <c r="T24" s="103">
        <f t="shared" si="14"/>
        <v>0</v>
      </c>
      <c r="U24" s="103">
        <f t="shared" si="15"/>
        <v>0</v>
      </c>
      <c r="V24" s="103">
        <f t="shared" si="16"/>
        <v>0</v>
      </c>
      <c r="W24" s="103">
        <f t="shared" si="17"/>
        <v>0</v>
      </c>
      <c r="X24" s="103">
        <f t="shared" si="18"/>
        <v>0</v>
      </c>
      <c r="Y24" s="103">
        <f t="shared" si="19"/>
        <v>0</v>
      </c>
      <c r="Z24" s="103">
        <f t="shared" si="20"/>
        <v>0</v>
      </c>
      <c r="AA24" s="103">
        <f t="shared" si="21"/>
        <v>0</v>
      </c>
      <c r="AB24" s="103">
        <f t="shared" si="22"/>
        <v>0</v>
      </c>
      <c r="AC24" s="103">
        <f t="shared" si="23"/>
        <v>0</v>
      </c>
      <c r="AD24" s="103">
        <f t="shared" si="24"/>
        <v>0</v>
      </c>
      <c r="AE24" s="103">
        <f t="shared" si="25"/>
        <v>0</v>
      </c>
      <c r="AF24" s="103">
        <f t="shared" si="26"/>
        <v>4333.333333333333</v>
      </c>
      <c r="AG24" s="103">
        <f t="shared" si="27"/>
        <v>4333.333333333333</v>
      </c>
      <c r="AH24" s="103">
        <f t="shared" si="28"/>
        <v>4333.333333333333</v>
      </c>
      <c r="AI24" s="103">
        <f t="shared" si="29"/>
        <v>4333.333333333333</v>
      </c>
      <c r="AJ24" s="103">
        <f t="shared" si="30"/>
        <v>4333.333333333333</v>
      </c>
      <c r="AK24" s="103">
        <f t="shared" si="31"/>
        <v>4333.333333333333</v>
      </c>
      <c r="AL24" s="103">
        <f t="shared" si="32"/>
        <v>4333.333333333333</v>
      </c>
      <c r="AM24" s="103">
        <f t="shared" si="33"/>
        <v>4333.333333333333</v>
      </c>
      <c r="AN24" s="103">
        <f t="shared" si="34"/>
        <v>4333.333333333333</v>
      </c>
      <c r="AO24" s="3">
        <f t="shared" si="35"/>
        <v>4333.333333333333</v>
      </c>
    </row>
    <row r="25" spans="1:41" ht="14.25" customHeight="1" x14ac:dyDescent="0.45">
      <c r="A25" s="25" t="s">
        <v>416</v>
      </c>
      <c r="B25" s="68" t="s">
        <v>387</v>
      </c>
      <c r="C25" s="26">
        <v>160000</v>
      </c>
      <c r="D25" s="26">
        <v>30</v>
      </c>
      <c r="E25" s="68" t="s">
        <v>396</v>
      </c>
      <c r="F25" s="68">
        <f t="shared" si="0"/>
        <v>0</v>
      </c>
      <c r="G25" s="68">
        <f t="shared" si="1"/>
        <v>0</v>
      </c>
      <c r="H25" s="68">
        <f t="shared" si="2"/>
        <v>0</v>
      </c>
      <c r="I25" s="68">
        <f t="shared" si="3"/>
        <v>0</v>
      </c>
      <c r="J25" s="68">
        <f t="shared" si="4"/>
        <v>0</v>
      </c>
      <c r="K25" s="68">
        <f t="shared" si="5"/>
        <v>0</v>
      </c>
      <c r="L25" s="68">
        <f t="shared" si="6"/>
        <v>0</v>
      </c>
      <c r="M25" s="68">
        <f t="shared" si="7"/>
        <v>0</v>
      </c>
      <c r="N25" s="68">
        <f t="shared" si="8"/>
        <v>0</v>
      </c>
      <c r="O25" s="68">
        <f t="shared" si="9"/>
        <v>0</v>
      </c>
      <c r="P25" s="68">
        <f t="shared" si="10"/>
        <v>0</v>
      </c>
      <c r="Q25" s="68">
        <f t="shared" si="11"/>
        <v>0</v>
      </c>
      <c r="R25" s="68">
        <f t="shared" si="12"/>
        <v>0</v>
      </c>
      <c r="S25" s="68">
        <f t="shared" si="13"/>
        <v>0</v>
      </c>
      <c r="T25" s="68">
        <f t="shared" si="14"/>
        <v>0</v>
      </c>
      <c r="U25" s="68">
        <f t="shared" si="15"/>
        <v>0</v>
      </c>
      <c r="V25" s="68">
        <f t="shared" si="16"/>
        <v>0</v>
      </c>
      <c r="W25" s="68">
        <f t="shared" si="17"/>
        <v>0</v>
      </c>
      <c r="X25" s="68">
        <f t="shared" si="18"/>
        <v>0</v>
      </c>
      <c r="Y25" s="68">
        <f t="shared" si="19"/>
        <v>0</v>
      </c>
      <c r="Z25" s="68">
        <f t="shared" si="20"/>
        <v>0</v>
      </c>
      <c r="AA25" s="68">
        <f t="shared" si="21"/>
        <v>0</v>
      </c>
      <c r="AB25" s="68">
        <f t="shared" si="22"/>
        <v>0</v>
      </c>
      <c r="AC25" s="68">
        <f t="shared" si="23"/>
        <v>0</v>
      </c>
      <c r="AD25" s="68">
        <f t="shared" si="24"/>
        <v>0</v>
      </c>
      <c r="AE25" s="68">
        <f t="shared" si="25"/>
        <v>0</v>
      </c>
      <c r="AF25" s="68">
        <f t="shared" si="26"/>
        <v>0</v>
      </c>
      <c r="AG25" s="68">
        <f t="shared" si="27"/>
        <v>0</v>
      </c>
      <c r="AH25" s="68">
        <f t="shared" si="28"/>
        <v>0</v>
      </c>
      <c r="AI25" s="68">
        <f t="shared" si="29"/>
        <v>13333.333333333334</v>
      </c>
      <c r="AJ25" s="68">
        <f t="shared" si="30"/>
        <v>13333.333333333334</v>
      </c>
      <c r="AK25" s="68">
        <f t="shared" si="31"/>
        <v>13333.333333333334</v>
      </c>
      <c r="AL25" s="68">
        <f t="shared" si="32"/>
        <v>13333.333333333334</v>
      </c>
      <c r="AM25" s="68">
        <f t="shared" si="33"/>
        <v>13333.333333333334</v>
      </c>
      <c r="AN25" s="68">
        <f t="shared" si="34"/>
        <v>13333.333333333334</v>
      </c>
      <c r="AO25" s="3">
        <f t="shared" si="35"/>
        <v>13333.333333333334</v>
      </c>
    </row>
    <row r="26" spans="1:41" ht="14.25" customHeight="1" x14ac:dyDescent="0.45">
      <c r="A26" s="23" t="s">
        <v>417</v>
      </c>
      <c r="B26" s="103" t="s">
        <v>390</v>
      </c>
      <c r="C26" s="24">
        <v>90000</v>
      </c>
      <c r="D26" s="24">
        <v>32</v>
      </c>
      <c r="E26" s="103" t="s">
        <v>392</v>
      </c>
      <c r="F26" s="103">
        <f t="shared" si="0"/>
        <v>0</v>
      </c>
      <c r="G26" s="103">
        <f t="shared" si="1"/>
        <v>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3">
        <f t="shared" si="5"/>
        <v>0</v>
      </c>
      <c r="L26" s="103">
        <f t="shared" si="6"/>
        <v>0</v>
      </c>
      <c r="M26" s="103">
        <f t="shared" si="7"/>
        <v>0</v>
      </c>
      <c r="N26" s="103">
        <f t="shared" si="8"/>
        <v>0</v>
      </c>
      <c r="O26" s="103">
        <f t="shared" si="9"/>
        <v>0</v>
      </c>
      <c r="P26" s="103">
        <f t="shared" si="10"/>
        <v>0</v>
      </c>
      <c r="Q26" s="103">
        <f t="shared" si="11"/>
        <v>0</v>
      </c>
      <c r="R26" s="103">
        <f t="shared" si="12"/>
        <v>0</v>
      </c>
      <c r="S26" s="103">
        <f t="shared" si="13"/>
        <v>0</v>
      </c>
      <c r="T26" s="103">
        <f t="shared" si="14"/>
        <v>0</v>
      </c>
      <c r="U26" s="103">
        <f t="shared" si="15"/>
        <v>0</v>
      </c>
      <c r="V26" s="103">
        <f t="shared" si="16"/>
        <v>0</v>
      </c>
      <c r="W26" s="103">
        <f t="shared" si="17"/>
        <v>0</v>
      </c>
      <c r="X26" s="103">
        <f t="shared" si="18"/>
        <v>0</v>
      </c>
      <c r="Y26" s="103">
        <f t="shared" si="19"/>
        <v>0</v>
      </c>
      <c r="Z26" s="103">
        <f t="shared" si="20"/>
        <v>0</v>
      </c>
      <c r="AA26" s="103">
        <f t="shared" si="21"/>
        <v>0</v>
      </c>
      <c r="AB26" s="103">
        <f t="shared" si="22"/>
        <v>0</v>
      </c>
      <c r="AC26" s="103">
        <f t="shared" si="23"/>
        <v>0</v>
      </c>
      <c r="AD26" s="103">
        <f t="shared" si="24"/>
        <v>0</v>
      </c>
      <c r="AE26" s="103">
        <f t="shared" si="25"/>
        <v>0</v>
      </c>
      <c r="AF26" s="103">
        <f t="shared" si="26"/>
        <v>0</v>
      </c>
      <c r="AG26" s="103">
        <f t="shared" si="27"/>
        <v>0</v>
      </c>
      <c r="AH26" s="103">
        <f t="shared" si="28"/>
        <v>0</v>
      </c>
      <c r="AI26" s="103">
        <f t="shared" si="29"/>
        <v>0</v>
      </c>
      <c r="AJ26" s="103">
        <f t="shared" si="30"/>
        <v>0</v>
      </c>
      <c r="AK26" s="103">
        <f t="shared" si="31"/>
        <v>7500</v>
      </c>
      <c r="AL26" s="103">
        <f t="shared" si="32"/>
        <v>7500</v>
      </c>
      <c r="AM26" s="103">
        <f t="shared" si="33"/>
        <v>7500</v>
      </c>
      <c r="AN26" s="103">
        <f t="shared" si="34"/>
        <v>7500</v>
      </c>
      <c r="AO26" s="3">
        <f t="shared" si="35"/>
        <v>7500</v>
      </c>
    </row>
    <row r="27" spans="1:41" ht="14.25" customHeight="1" x14ac:dyDescent="0.45">
      <c r="A27" s="25" t="s">
        <v>418</v>
      </c>
      <c r="B27" s="68" t="s">
        <v>419</v>
      </c>
      <c r="C27" s="26">
        <v>120000</v>
      </c>
      <c r="D27" s="26">
        <v>34</v>
      </c>
      <c r="E27" s="68" t="s">
        <v>396</v>
      </c>
      <c r="F27" s="68">
        <f t="shared" si="0"/>
        <v>0</v>
      </c>
      <c r="G27" s="68">
        <f t="shared" si="1"/>
        <v>0</v>
      </c>
      <c r="H27" s="68">
        <f t="shared" si="2"/>
        <v>0</v>
      </c>
      <c r="I27" s="68">
        <f t="shared" si="3"/>
        <v>0</v>
      </c>
      <c r="J27" s="68">
        <f t="shared" si="4"/>
        <v>0</v>
      </c>
      <c r="K27" s="68">
        <f t="shared" si="5"/>
        <v>0</v>
      </c>
      <c r="L27" s="68">
        <f t="shared" si="6"/>
        <v>0</v>
      </c>
      <c r="M27" s="68">
        <f t="shared" si="7"/>
        <v>0</v>
      </c>
      <c r="N27" s="68">
        <f t="shared" si="8"/>
        <v>0</v>
      </c>
      <c r="O27" s="68">
        <f t="shared" si="9"/>
        <v>0</v>
      </c>
      <c r="P27" s="68">
        <f t="shared" si="10"/>
        <v>0</v>
      </c>
      <c r="Q27" s="68">
        <f t="shared" si="11"/>
        <v>0</v>
      </c>
      <c r="R27" s="68">
        <f t="shared" si="12"/>
        <v>0</v>
      </c>
      <c r="S27" s="68">
        <f t="shared" si="13"/>
        <v>0</v>
      </c>
      <c r="T27" s="68">
        <f t="shared" si="14"/>
        <v>0</v>
      </c>
      <c r="U27" s="68">
        <f t="shared" si="15"/>
        <v>0</v>
      </c>
      <c r="V27" s="68">
        <f t="shared" si="16"/>
        <v>0</v>
      </c>
      <c r="W27" s="68">
        <f t="shared" si="17"/>
        <v>0</v>
      </c>
      <c r="X27" s="68">
        <f t="shared" si="18"/>
        <v>0</v>
      </c>
      <c r="Y27" s="68">
        <f t="shared" si="19"/>
        <v>0</v>
      </c>
      <c r="Z27" s="68">
        <f t="shared" si="20"/>
        <v>0</v>
      </c>
      <c r="AA27" s="68">
        <f t="shared" si="21"/>
        <v>0</v>
      </c>
      <c r="AB27" s="68">
        <f t="shared" si="22"/>
        <v>0</v>
      </c>
      <c r="AC27" s="68">
        <f t="shared" si="23"/>
        <v>0</v>
      </c>
      <c r="AD27" s="68">
        <f t="shared" si="24"/>
        <v>0</v>
      </c>
      <c r="AE27" s="68">
        <f t="shared" si="25"/>
        <v>0</v>
      </c>
      <c r="AF27" s="68">
        <f t="shared" si="26"/>
        <v>0</v>
      </c>
      <c r="AG27" s="68">
        <f t="shared" si="27"/>
        <v>0</v>
      </c>
      <c r="AH27" s="68">
        <f t="shared" si="28"/>
        <v>0</v>
      </c>
      <c r="AI27" s="68">
        <f t="shared" si="29"/>
        <v>0</v>
      </c>
      <c r="AJ27" s="68">
        <f t="shared" si="30"/>
        <v>0</v>
      </c>
      <c r="AK27" s="68">
        <f t="shared" si="31"/>
        <v>0</v>
      </c>
      <c r="AL27" s="68">
        <f t="shared" si="32"/>
        <v>0</v>
      </c>
      <c r="AM27" s="68">
        <f t="shared" si="33"/>
        <v>10000</v>
      </c>
      <c r="AN27" s="68">
        <f t="shared" si="34"/>
        <v>10000</v>
      </c>
      <c r="AO27" s="3">
        <f t="shared" si="35"/>
        <v>10000</v>
      </c>
    </row>
    <row r="28" spans="1:41" ht="14.25" customHeight="1" x14ac:dyDescent="0.45">
      <c r="A28" s="23" t="s">
        <v>420</v>
      </c>
      <c r="B28" s="103" t="s">
        <v>419</v>
      </c>
      <c r="C28" s="24">
        <v>80000</v>
      </c>
      <c r="D28" s="24">
        <v>36</v>
      </c>
      <c r="E28" s="103" t="s">
        <v>396</v>
      </c>
      <c r="F28" s="103">
        <f t="shared" si="0"/>
        <v>0</v>
      </c>
      <c r="G28" s="103">
        <f t="shared" si="1"/>
        <v>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3">
        <f t="shared" si="5"/>
        <v>0</v>
      </c>
      <c r="L28" s="103">
        <f t="shared" si="6"/>
        <v>0</v>
      </c>
      <c r="M28" s="103">
        <f t="shared" si="7"/>
        <v>0</v>
      </c>
      <c r="N28" s="103">
        <f t="shared" si="8"/>
        <v>0</v>
      </c>
      <c r="O28" s="103">
        <f t="shared" si="9"/>
        <v>0</v>
      </c>
      <c r="P28" s="103">
        <f t="shared" si="10"/>
        <v>0</v>
      </c>
      <c r="Q28" s="103">
        <f t="shared" si="11"/>
        <v>0</v>
      </c>
      <c r="R28" s="103">
        <f t="shared" si="12"/>
        <v>0</v>
      </c>
      <c r="S28" s="103">
        <f t="shared" si="13"/>
        <v>0</v>
      </c>
      <c r="T28" s="103">
        <f t="shared" si="14"/>
        <v>0</v>
      </c>
      <c r="U28" s="103">
        <f t="shared" si="15"/>
        <v>0</v>
      </c>
      <c r="V28" s="103">
        <f t="shared" si="16"/>
        <v>0</v>
      </c>
      <c r="W28" s="103">
        <f t="shared" si="17"/>
        <v>0</v>
      </c>
      <c r="X28" s="103">
        <f t="shared" si="18"/>
        <v>0</v>
      </c>
      <c r="Y28" s="103">
        <f t="shared" si="19"/>
        <v>0</v>
      </c>
      <c r="Z28" s="103">
        <f t="shared" si="20"/>
        <v>0</v>
      </c>
      <c r="AA28" s="103">
        <f t="shared" si="21"/>
        <v>0</v>
      </c>
      <c r="AB28" s="103">
        <f t="shared" si="22"/>
        <v>0</v>
      </c>
      <c r="AC28" s="103">
        <f t="shared" si="23"/>
        <v>0</v>
      </c>
      <c r="AD28" s="103">
        <f t="shared" si="24"/>
        <v>0</v>
      </c>
      <c r="AE28" s="103">
        <f t="shared" si="25"/>
        <v>0</v>
      </c>
      <c r="AF28" s="103">
        <f t="shared" si="26"/>
        <v>0</v>
      </c>
      <c r="AG28" s="103">
        <f t="shared" si="27"/>
        <v>0</v>
      </c>
      <c r="AH28" s="103">
        <f t="shared" si="28"/>
        <v>0</v>
      </c>
      <c r="AI28" s="103">
        <f t="shared" si="29"/>
        <v>0</v>
      </c>
      <c r="AJ28" s="103">
        <f t="shared" si="30"/>
        <v>0</v>
      </c>
      <c r="AK28" s="103">
        <f t="shared" si="31"/>
        <v>0</v>
      </c>
      <c r="AL28" s="103">
        <f t="shared" si="32"/>
        <v>0</v>
      </c>
      <c r="AM28" s="103">
        <f t="shared" si="33"/>
        <v>0</v>
      </c>
      <c r="AN28" s="103">
        <f t="shared" si="34"/>
        <v>0</v>
      </c>
      <c r="AO28" s="3">
        <f t="shared" si="35"/>
        <v>6666.666666666667</v>
      </c>
    </row>
    <row r="29" spans="1:41" ht="14.25" customHeight="1" x14ac:dyDescent="0.45">
      <c r="A29" s="161" t="s">
        <v>421</v>
      </c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3"/>
      <c r="AO29" s="4"/>
    </row>
    <row r="30" spans="1:41" ht="14.25" customHeight="1" x14ac:dyDescent="0.45">
      <c r="A30" s="23" t="s">
        <v>422</v>
      </c>
      <c r="B30" s="50" t="s">
        <v>423</v>
      </c>
      <c r="C30" s="50" t="s">
        <v>423</v>
      </c>
      <c r="D30" s="50" t="s">
        <v>423</v>
      </c>
      <c r="E30" s="50" t="s">
        <v>423</v>
      </c>
      <c r="F30" s="50">
        <f>IF(1&gt;=$D$10,1,0)+IF(1&gt;=$D$13,1,0)+IF(1&gt;=$D$23,1,0)</f>
        <v>0</v>
      </c>
      <c r="G30" s="50">
        <f>IF(2&gt;=$D$10,1,0)+IF(2&gt;=$D$13,1,0)+IF(2&gt;=$D$23,1,0)</f>
        <v>0</v>
      </c>
      <c r="H30" s="50">
        <f>IF(3&gt;=$D$10,1,0)+IF(3&gt;=$D$13,1,0)+IF(3&gt;=$D$23,1,0)</f>
        <v>0</v>
      </c>
      <c r="I30" s="50">
        <f>IF(4&gt;=$D$10,1,0)+IF(4&gt;=$D$13,1,0)+IF(4&gt;=$D$23,1,0)</f>
        <v>1</v>
      </c>
      <c r="J30" s="50">
        <f>IF(5&gt;=$D$10,1,0)+IF(5&gt;=$D$13,1,0)+IF(5&gt;=$D$23,1,0)</f>
        <v>1</v>
      </c>
      <c r="K30" s="50">
        <f>IF(6&gt;=$D$10,1,0)+IF(6&gt;=$D$13,1,0)+IF(6&gt;=$D$23,1,0)</f>
        <v>1</v>
      </c>
      <c r="L30" s="50">
        <f>IF(7&gt;=$D$10,1,0)+IF(7&gt;=$D$13,1,0)+IF(7&gt;=$D$23,1,0)</f>
        <v>1</v>
      </c>
      <c r="M30" s="50">
        <f>IF(8&gt;=$D$10,1,0)+IF(8&gt;=$D$13,1,0)+IF(8&gt;=$D$23,1,0)</f>
        <v>1</v>
      </c>
      <c r="N30" s="50">
        <f>IF(9&gt;=$D$10,1,0)+IF(9&gt;=$D$13,1,0)+IF(9&gt;=$D$23,1,0)</f>
        <v>1</v>
      </c>
      <c r="O30" s="50">
        <f>IF(10&gt;=$D$10,1,0)+IF(10&gt;=$D$13,1,0)+IF(10&gt;=$D$23,1,0)</f>
        <v>1</v>
      </c>
      <c r="P30" s="50">
        <f>IF(11&gt;=$D$10,1,0)+IF(11&gt;=$D$13,1,0)+IF(11&gt;=$D$23,1,0)</f>
        <v>1</v>
      </c>
      <c r="Q30" s="50">
        <f>IF(12&gt;=$D$10,1,0)+IF(12&gt;=$D$13,1,0)+IF(12&gt;=$D$23,1,0)</f>
        <v>1</v>
      </c>
      <c r="R30" s="50">
        <f>IF(13&gt;=$D$10,1,0)+IF(13&gt;=$D$13,1,0)+IF(13&gt;=$D$23,1,0)</f>
        <v>1</v>
      </c>
      <c r="S30" s="50">
        <f>IF(14&gt;=$D$10,1,0)+IF(14&gt;=$D$13,1,0)+IF(14&gt;=$D$23,1,0)</f>
        <v>1</v>
      </c>
      <c r="T30" s="50">
        <f>IF(15&gt;=$D$10,1,0)+IF(15&gt;=$D$13,1,0)+IF(15&gt;=$D$23,1,0)</f>
        <v>1</v>
      </c>
      <c r="U30" s="50">
        <f>IF(16&gt;=$D$10,1,0)+IF(16&gt;=$D$13,1,0)+IF(16&gt;=$D$23,1,0)</f>
        <v>2</v>
      </c>
      <c r="V30" s="50">
        <f>IF(17&gt;=$D$10,1,0)+IF(17&gt;=$D$13,1,0)+IF(17&gt;=$D$23,1,0)</f>
        <v>2</v>
      </c>
      <c r="W30" s="50">
        <f>IF(18&gt;=$D$10,1,0)+IF(18&gt;=$D$13,1,0)+IF(18&gt;=$D$23,1,0)</f>
        <v>2</v>
      </c>
      <c r="X30" s="50">
        <f>IF(19&gt;=$D$10,1,0)+IF(19&gt;=$D$13,1,0)+IF(19&gt;=$D$23,1,0)</f>
        <v>2</v>
      </c>
      <c r="Y30" s="50">
        <f>IF(20&gt;=$D$10,1,0)+IF(20&gt;=$D$13,1,0)+IF(20&gt;=$D$23,1,0)</f>
        <v>2</v>
      </c>
      <c r="Z30" s="50">
        <f>IF(21&gt;=$D$10,1,0)+IF(21&gt;=$D$13,1,0)+IF(21&gt;=$D$23,1,0)</f>
        <v>2</v>
      </c>
      <c r="AA30" s="50">
        <f>IF(22&gt;=$D$10,1,0)+IF(22&gt;=$D$13,1,0)+IF(22&gt;=$D$23,1,0)</f>
        <v>2</v>
      </c>
      <c r="AB30" s="50">
        <f>IF(23&gt;=$D$10,1,0)+IF(23&gt;=$D$13,1,0)+IF(23&gt;=$D$23,1,0)</f>
        <v>2</v>
      </c>
      <c r="AC30" s="50">
        <f>IF(24&gt;=$D$10,1,0)+IF(24&gt;=$D$13,1,0)+IF(24&gt;=$D$23,1,0)</f>
        <v>2</v>
      </c>
      <c r="AD30" s="50">
        <f>IF(25&gt;=$D$10,1,0)+IF(25&gt;=$D$13,1,0)+IF(25&gt;=$D$23,1,0)</f>
        <v>2</v>
      </c>
      <c r="AE30" s="50">
        <f>IF(26&gt;=$D$10,1,0)+IF(26&gt;=$D$13,1,0)+IF(26&gt;=$D$23,1,0)</f>
        <v>2</v>
      </c>
      <c r="AF30" s="50">
        <f>IF(27&gt;=$D$10,1,0)+IF(27&gt;=$D$13,1,0)+IF(27&gt;=$D$23,1,0)</f>
        <v>3</v>
      </c>
      <c r="AG30" s="50">
        <f>IF(28&gt;=$D$10,1,0)+IF(28&gt;=$D$13,1,0)+IF(28&gt;=$D$23,1,0)</f>
        <v>3</v>
      </c>
      <c r="AH30" s="50">
        <f>IF(29&gt;=$D$10,1,0)+IF(29&gt;=$D$13,1,0)+IF(29&gt;=$D$23,1,0)</f>
        <v>3</v>
      </c>
      <c r="AI30" s="50">
        <f>IF(30&gt;=$D$10,1,0)+IF(30&gt;=$D$13,1,0)+IF(30&gt;=$D$23,1,0)</f>
        <v>3</v>
      </c>
      <c r="AJ30" s="50">
        <f>IF(31&gt;=$D$10,1,0)+IF(31&gt;=$D$13,1,0)+IF(31&gt;=$D$23,1,0)</f>
        <v>3</v>
      </c>
      <c r="AK30" s="50">
        <f>IF(32&gt;=$D$10,1,0)+IF(32&gt;=$D$13,1,0)+IF(32&gt;=$D$23,1,0)</f>
        <v>3</v>
      </c>
      <c r="AL30" s="50">
        <f>IF(33&gt;=$D$10,1,0)+IF(33&gt;=$D$13,1,0)+IF(33&gt;=$D$23,1,0)</f>
        <v>3</v>
      </c>
      <c r="AM30" s="50">
        <f>IF(34&gt;=$D$10,1,0)+IF(34&gt;=$D$13,1,0)+IF(34&gt;=$D$23,1,0)</f>
        <v>3</v>
      </c>
      <c r="AN30" s="50">
        <f>IF(35&gt;=$D$10,1,0)+IF(35&gt;=$D$13,1,0)+IF(35&gt;=$D$23,1,0)</f>
        <v>3</v>
      </c>
      <c r="AO30" s="13">
        <f>IF(36&gt;=$D$10,1,0)+IF(36&gt;=$D$13,1,0)+IF(36&gt;=$D$23,1,0)</f>
        <v>3</v>
      </c>
    </row>
    <row r="31" spans="1:41" ht="14.25" customHeight="1" x14ac:dyDescent="0.45">
      <c r="A31" s="25" t="s">
        <v>424</v>
      </c>
      <c r="B31" s="57" t="s">
        <v>423</v>
      </c>
      <c r="C31" s="57" t="s">
        <v>423</v>
      </c>
      <c r="D31" s="57" t="s">
        <v>423</v>
      </c>
      <c r="E31" s="57" t="s">
        <v>423</v>
      </c>
      <c r="F31" s="57">
        <f>IF(1&gt;=$D$11,1,0)+IF(1&gt;=$D$24,1,0)</f>
        <v>0</v>
      </c>
      <c r="G31" s="57">
        <f>IF(2&gt;=$D$11,1,0)+IF(2&gt;=$D$24,1,0)</f>
        <v>0</v>
      </c>
      <c r="H31" s="57">
        <f>IF(3&gt;=$D$11,1,0)+IF(3&gt;=$D$24,1,0)</f>
        <v>0</v>
      </c>
      <c r="I31" s="57">
        <f>IF(4&gt;=$D$11,1,0)+IF(4&gt;=$D$24,1,0)</f>
        <v>0</v>
      </c>
      <c r="J31" s="57">
        <f>IF(5&gt;=$D$11,1,0)+IF(5&gt;=$D$24,1,0)</f>
        <v>0</v>
      </c>
      <c r="K31" s="57">
        <f>IF(6&gt;=$D$11,1,0)+IF(6&gt;=$D$24,1,0)</f>
        <v>0</v>
      </c>
      <c r="L31" s="57">
        <f>IF(7&gt;=$D$11,1,0)+IF(7&gt;=$D$24,1,0)</f>
        <v>0</v>
      </c>
      <c r="M31" s="57">
        <f>IF(8&gt;=$D$11,1,0)+IF(8&gt;=$D$24,1,0)</f>
        <v>0</v>
      </c>
      <c r="N31" s="57">
        <f>IF(9&gt;=$D$11,1,0)+IF(9&gt;=$D$24,1,0)</f>
        <v>0</v>
      </c>
      <c r="O31" s="57">
        <f>IF(10&gt;=$D$11,1,0)+IF(10&gt;=$D$24,1,0)</f>
        <v>0</v>
      </c>
      <c r="P31" s="57">
        <f>IF(11&gt;=$D$11,1,0)+IF(11&gt;=$D$24,1,0)</f>
        <v>0</v>
      </c>
      <c r="Q31" s="57">
        <f>IF(12&gt;=$D$11,1,0)+IF(12&gt;=$D$24,1,0)</f>
        <v>0</v>
      </c>
      <c r="R31" s="57">
        <f>IF(13&gt;=$D$11,1,0)+IF(13&gt;=$D$24,1,0)</f>
        <v>0</v>
      </c>
      <c r="S31" s="57">
        <f>IF(14&gt;=$D$11,1,0)+IF(14&gt;=$D$24,1,0)</f>
        <v>0</v>
      </c>
      <c r="T31" s="57">
        <f>IF(15&gt;=$D$11,1,0)+IF(15&gt;=$D$24,1,0)</f>
        <v>0</v>
      </c>
      <c r="U31" s="57">
        <f>IF(16&gt;=$D$11,1,0)+IF(16&gt;=$D$24,1,0)</f>
        <v>1</v>
      </c>
      <c r="V31" s="57">
        <f>IF(17&gt;=$D$11,1,0)+IF(17&gt;=$D$24,1,0)</f>
        <v>1</v>
      </c>
      <c r="W31" s="57">
        <f>IF(18&gt;=$D$11,1,0)+IF(18&gt;=$D$24,1,0)</f>
        <v>1</v>
      </c>
      <c r="X31" s="57">
        <f>IF(19&gt;=$D$11,1,0)+IF(19&gt;=$D$24,1,0)</f>
        <v>1</v>
      </c>
      <c r="Y31" s="57">
        <f>IF(20&gt;=$D$11,1,0)+IF(20&gt;=$D$24,1,0)</f>
        <v>1</v>
      </c>
      <c r="Z31" s="57">
        <f>IF(21&gt;=$D$11,1,0)+IF(21&gt;=$D$24,1,0)</f>
        <v>1</v>
      </c>
      <c r="AA31" s="57">
        <f>IF(22&gt;=$D$11,1,0)+IF(22&gt;=$D$24,1,0)</f>
        <v>1</v>
      </c>
      <c r="AB31" s="57">
        <f>IF(23&gt;=$D$11,1,0)+IF(23&gt;=$D$24,1,0)</f>
        <v>1</v>
      </c>
      <c r="AC31" s="57">
        <f>IF(24&gt;=$D$11,1,0)+IF(24&gt;=$D$24,1,0)</f>
        <v>1</v>
      </c>
      <c r="AD31" s="57">
        <f>IF(25&gt;=$D$11,1,0)+IF(25&gt;=$D$24,1,0)</f>
        <v>1</v>
      </c>
      <c r="AE31" s="57">
        <f>IF(26&gt;=$D$11,1,0)+IF(26&gt;=$D$24,1,0)</f>
        <v>1</v>
      </c>
      <c r="AF31" s="57">
        <f>IF(27&gt;=$D$11,1,0)+IF(27&gt;=$D$24,1,0)</f>
        <v>2</v>
      </c>
      <c r="AG31" s="57">
        <f>IF(28&gt;=$D$11,1,0)+IF(28&gt;=$D$24,1,0)</f>
        <v>2</v>
      </c>
      <c r="AH31" s="57">
        <f>IF(29&gt;=$D$11,1,0)+IF(29&gt;=$D$24,1,0)</f>
        <v>2</v>
      </c>
      <c r="AI31" s="57">
        <f>IF(30&gt;=$D$11,1,0)+IF(30&gt;=$D$24,1,0)</f>
        <v>2</v>
      </c>
      <c r="AJ31" s="57">
        <f>IF(31&gt;=$D$11,1,0)+IF(31&gt;=$D$24,1,0)</f>
        <v>2</v>
      </c>
      <c r="AK31" s="57">
        <f>IF(32&gt;=$D$11,1,0)+IF(32&gt;=$D$24,1,0)</f>
        <v>2</v>
      </c>
      <c r="AL31" s="57">
        <f>IF(33&gt;=$D$11,1,0)+IF(33&gt;=$D$24,1,0)</f>
        <v>2</v>
      </c>
      <c r="AM31" s="57">
        <f>IF(34&gt;=$D$11,1,0)+IF(34&gt;=$D$24,1,0)</f>
        <v>2</v>
      </c>
      <c r="AN31" s="57">
        <f>IF(35&gt;=$D$11,1,0)+IF(35&gt;=$D$24,1,0)</f>
        <v>2</v>
      </c>
      <c r="AO31" s="5">
        <f>IF(36&gt;=$D$11,1,0)+IF(36&gt;=$D$24,1,0)</f>
        <v>2</v>
      </c>
    </row>
    <row r="32" spans="1:41" ht="14.25" customHeight="1" x14ac:dyDescent="0.45">
      <c r="A32" s="28" t="s">
        <v>425</v>
      </c>
      <c r="B32" s="29" t="s">
        <v>423</v>
      </c>
      <c r="C32" s="29" t="s">
        <v>423</v>
      </c>
      <c r="D32" s="29" t="s">
        <v>423</v>
      </c>
      <c r="E32" s="29" t="s">
        <v>423</v>
      </c>
      <c r="F32" s="29">
        <f t="shared" ref="F32:AO32" si="36">F4*1+F5*1+F6*1.05+F7*1.05+F8*1.25+F9*1.25+F10*1.25+F11*1.25+F12*1.05+F13*1.25+F14*1.25+F15*1.05+F16*1.25+F17*1.05+F18*1.25+F19*1.25+F20*1.25+F21*1.05+F22*1.05+F23*1.25+F24*1.25+F25*1.25+F26*1.05+F27*1.25+F28*1.25</f>
        <v>22875</v>
      </c>
      <c r="G32" s="29">
        <f t="shared" si="36"/>
        <v>22875</v>
      </c>
      <c r="H32" s="29">
        <f t="shared" si="36"/>
        <v>22875</v>
      </c>
      <c r="I32" s="29">
        <f t="shared" si="36"/>
        <v>38708.333333333328</v>
      </c>
      <c r="J32" s="29">
        <f t="shared" si="36"/>
        <v>38708.333333333328</v>
      </c>
      <c r="K32" s="29">
        <f t="shared" si="36"/>
        <v>38708.333333333328</v>
      </c>
      <c r="L32" s="29">
        <f t="shared" si="36"/>
        <v>38708.333333333328</v>
      </c>
      <c r="M32" s="29">
        <f t="shared" si="36"/>
        <v>45708.333333333328</v>
      </c>
      <c r="N32" s="29">
        <f t="shared" si="36"/>
        <v>45708.333333333328</v>
      </c>
      <c r="O32" s="29">
        <f t="shared" si="36"/>
        <v>52479.166666666664</v>
      </c>
      <c r="P32" s="29">
        <f t="shared" si="36"/>
        <v>52479.166666666664</v>
      </c>
      <c r="Q32" s="29">
        <f t="shared" si="36"/>
        <v>52479.166666666664</v>
      </c>
      <c r="R32" s="29">
        <f t="shared" si="36"/>
        <v>52479.166666666664</v>
      </c>
      <c r="S32" s="29">
        <f t="shared" si="36"/>
        <v>59304.166666666664</v>
      </c>
      <c r="T32" s="29">
        <f t="shared" si="36"/>
        <v>59304.166666666664</v>
      </c>
      <c r="U32" s="29">
        <f t="shared" si="36"/>
        <v>71283.333333333343</v>
      </c>
      <c r="V32" s="29">
        <f t="shared" si="36"/>
        <v>71283.333333333343</v>
      </c>
      <c r="W32" s="29">
        <f t="shared" si="36"/>
        <v>79595.833333333343</v>
      </c>
      <c r="X32" s="29">
        <f t="shared" si="36"/>
        <v>79595.833333333343</v>
      </c>
      <c r="Y32" s="29">
        <f t="shared" si="36"/>
        <v>91575.000000000015</v>
      </c>
      <c r="Z32" s="29">
        <f t="shared" si="36"/>
        <v>91575.000000000015</v>
      </c>
      <c r="AA32" s="29">
        <f t="shared" si="36"/>
        <v>91575.000000000015</v>
      </c>
      <c r="AB32" s="29">
        <f t="shared" si="36"/>
        <v>98400.000000000015</v>
      </c>
      <c r="AC32" s="29">
        <f t="shared" si="36"/>
        <v>98400.000000000015</v>
      </c>
      <c r="AD32" s="29">
        <f t="shared" si="36"/>
        <v>121679.16666666669</v>
      </c>
      <c r="AE32" s="29">
        <f t="shared" si="36"/>
        <v>130254.16666666669</v>
      </c>
      <c r="AF32" s="29">
        <f t="shared" si="36"/>
        <v>143170.83333333334</v>
      </c>
      <c r="AG32" s="29">
        <f t="shared" si="36"/>
        <v>143170.83333333334</v>
      </c>
      <c r="AH32" s="29">
        <f t="shared" si="36"/>
        <v>143170.83333333334</v>
      </c>
      <c r="AI32" s="29">
        <f t="shared" si="36"/>
        <v>159837.5</v>
      </c>
      <c r="AJ32" s="29">
        <f t="shared" si="36"/>
        <v>159837.5</v>
      </c>
      <c r="AK32" s="29">
        <f t="shared" si="36"/>
        <v>167712.5</v>
      </c>
      <c r="AL32" s="29">
        <f t="shared" si="36"/>
        <v>167712.5</v>
      </c>
      <c r="AM32" s="29">
        <f t="shared" si="36"/>
        <v>180212.5</v>
      </c>
      <c r="AN32" s="29">
        <f t="shared" si="36"/>
        <v>180212.5</v>
      </c>
      <c r="AO32" s="6">
        <f t="shared" si="36"/>
        <v>188545.83333333334</v>
      </c>
    </row>
    <row r="33" spans="1:41" ht="14.25" customHeight="1" x14ac:dyDescent="0.45">
      <c r="A33" s="35" t="s">
        <v>426</v>
      </c>
      <c r="B33" s="35"/>
      <c r="C33" s="35"/>
      <c r="D33" s="35"/>
      <c r="E33" s="35"/>
      <c r="F33" s="35">
        <f t="shared" ref="F33:AO33" si="37">COUNTIF(F4:F28,"&gt;0")</f>
        <v>3</v>
      </c>
      <c r="G33" s="35">
        <f t="shared" si="37"/>
        <v>3</v>
      </c>
      <c r="H33" s="35">
        <f t="shared" si="37"/>
        <v>3</v>
      </c>
      <c r="I33" s="35">
        <f t="shared" si="37"/>
        <v>5</v>
      </c>
      <c r="J33" s="35">
        <f t="shared" si="37"/>
        <v>5</v>
      </c>
      <c r="K33" s="35">
        <f t="shared" si="37"/>
        <v>5</v>
      </c>
      <c r="L33" s="35">
        <f t="shared" si="37"/>
        <v>5</v>
      </c>
      <c r="M33" s="35">
        <f t="shared" si="37"/>
        <v>6</v>
      </c>
      <c r="N33" s="35">
        <f t="shared" si="37"/>
        <v>6</v>
      </c>
      <c r="O33" s="35">
        <f t="shared" si="37"/>
        <v>7</v>
      </c>
      <c r="P33" s="35">
        <f t="shared" si="37"/>
        <v>7</v>
      </c>
      <c r="Q33" s="35">
        <f t="shared" si="37"/>
        <v>7</v>
      </c>
      <c r="R33" s="35">
        <f t="shared" si="37"/>
        <v>7</v>
      </c>
      <c r="S33" s="35">
        <f t="shared" si="37"/>
        <v>8</v>
      </c>
      <c r="T33" s="35">
        <f t="shared" si="37"/>
        <v>8</v>
      </c>
      <c r="U33" s="35">
        <f t="shared" si="37"/>
        <v>10</v>
      </c>
      <c r="V33" s="35">
        <f t="shared" si="37"/>
        <v>10</v>
      </c>
      <c r="W33" s="35">
        <f t="shared" si="37"/>
        <v>11</v>
      </c>
      <c r="X33" s="35">
        <f t="shared" si="37"/>
        <v>11</v>
      </c>
      <c r="Y33" s="35">
        <f t="shared" si="37"/>
        <v>12</v>
      </c>
      <c r="Z33" s="35">
        <f t="shared" si="37"/>
        <v>12</v>
      </c>
      <c r="AA33" s="35">
        <f t="shared" si="37"/>
        <v>12</v>
      </c>
      <c r="AB33" s="35">
        <f t="shared" si="37"/>
        <v>13</v>
      </c>
      <c r="AC33" s="35">
        <f t="shared" si="37"/>
        <v>13</v>
      </c>
      <c r="AD33" s="35">
        <f t="shared" si="37"/>
        <v>16</v>
      </c>
      <c r="AE33" s="35">
        <f t="shared" si="37"/>
        <v>17</v>
      </c>
      <c r="AF33" s="35">
        <f t="shared" si="37"/>
        <v>19</v>
      </c>
      <c r="AG33" s="35">
        <f t="shared" si="37"/>
        <v>19</v>
      </c>
      <c r="AH33" s="35">
        <f t="shared" si="37"/>
        <v>19</v>
      </c>
      <c r="AI33" s="35">
        <f t="shared" si="37"/>
        <v>20</v>
      </c>
      <c r="AJ33" s="35">
        <f t="shared" si="37"/>
        <v>20</v>
      </c>
      <c r="AK33" s="35">
        <f t="shared" si="37"/>
        <v>21</v>
      </c>
      <c r="AL33" s="35">
        <f t="shared" si="37"/>
        <v>21</v>
      </c>
      <c r="AM33" s="35">
        <f t="shared" si="37"/>
        <v>22</v>
      </c>
      <c r="AN33" s="35">
        <f t="shared" si="37"/>
        <v>22</v>
      </c>
      <c r="AO33">
        <f t="shared" si="37"/>
        <v>23</v>
      </c>
    </row>
  </sheetData>
  <mergeCells count="2">
    <mergeCell ref="A1:AN1"/>
    <mergeCell ref="A29:AN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6"/>
  <sheetViews>
    <sheetView zoomScaleNormal="100" workbookViewId="0">
      <selection sqref="A1:AL1"/>
    </sheetView>
  </sheetViews>
  <sheetFormatPr defaultColWidth="8.6640625" defaultRowHeight="14.25" x14ac:dyDescent="0.45"/>
  <cols>
    <col min="1" max="1" width="25" customWidth="1"/>
    <col min="2" max="38" width="12" customWidth="1"/>
  </cols>
  <sheetData>
    <row r="1" spans="1:40" ht="24.75" customHeight="1" x14ac:dyDescent="0.5">
      <c r="A1" s="160" t="s">
        <v>427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9"/>
      <c r="AM1" s="59"/>
      <c r="AN1" s="59"/>
    </row>
    <row r="2" spans="1:40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spans="1:40" ht="14.25" customHeight="1" x14ac:dyDescent="0.45">
      <c r="A3" s="33" t="s">
        <v>428</v>
      </c>
      <c r="B3" s="33" t="s">
        <v>2</v>
      </c>
      <c r="C3" s="33" t="s">
        <v>3</v>
      </c>
      <c r="D3" s="33" t="s">
        <v>4</v>
      </c>
      <c r="E3" s="33" t="s">
        <v>5</v>
      </c>
      <c r="F3" s="33" t="s">
        <v>6</v>
      </c>
      <c r="G3" s="33" t="s">
        <v>7</v>
      </c>
      <c r="H3" s="33" t="s">
        <v>8</v>
      </c>
      <c r="I3" s="33" t="s">
        <v>9</v>
      </c>
      <c r="J3" s="33" t="s">
        <v>10</v>
      </c>
      <c r="K3" s="33" t="s">
        <v>11</v>
      </c>
      <c r="L3" s="33" t="s">
        <v>12</v>
      </c>
      <c r="M3" s="33" t="s">
        <v>13</v>
      </c>
      <c r="N3" s="33" t="s">
        <v>14</v>
      </c>
      <c r="O3" s="33" t="s">
        <v>15</v>
      </c>
      <c r="P3" s="33" t="s">
        <v>16</v>
      </c>
      <c r="Q3" s="33" t="s">
        <v>17</v>
      </c>
      <c r="R3" s="33" t="s">
        <v>18</v>
      </c>
      <c r="S3" s="33" t="s">
        <v>19</v>
      </c>
      <c r="T3" s="33" t="s">
        <v>20</v>
      </c>
      <c r="U3" s="33" t="s">
        <v>21</v>
      </c>
      <c r="V3" s="33" t="s">
        <v>22</v>
      </c>
      <c r="W3" s="33" t="s">
        <v>23</v>
      </c>
      <c r="X3" s="33" t="s">
        <v>24</v>
      </c>
      <c r="Y3" s="33" t="s">
        <v>25</v>
      </c>
      <c r="Z3" s="33" t="s">
        <v>26</v>
      </c>
      <c r="AA3" s="33" t="s">
        <v>27</v>
      </c>
      <c r="AB3" s="33" t="s">
        <v>28</v>
      </c>
      <c r="AC3" s="33" t="s">
        <v>29</v>
      </c>
      <c r="AD3" s="33" t="s">
        <v>30</v>
      </c>
      <c r="AE3" s="33" t="s">
        <v>31</v>
      </c>
      <c r="AF3" s="33" t="s">
        <v>32</v>
      </c>
      <c r="AG3" s="33" t="s">
        <v>33</v>
      </c>
      <c r="AH3" s="33" t="s">
        <v>34</v>
      </c>
      <c r="AI3" s="33" t="s">
        <v>35</v>
      </c>
      <c r="AJ3" s="33" t="s">
        <v>36</v>
      </c>
      <c r="AK3" s="33" t="s">
        <v>37</v>
      </c>
      <c r="AL3" s="33"/>
      <c r="AM3" s="42"/>
      <c r="AN3" s="42"/>
    </row>
    <row r="4" spans="1:40" ht="14.25" customHeight="1" x14ac:dyDescent="0.45">
      <c r="A4" s="164" t="s">
        <v>429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3"/>
      <c r="AL4" s="105"/>
      <c r="AM4" s="104"/>
      <c r="AN4" s="104"/>
    </row>
    <row r="5" spans="1:40" ht="14.25" customHeight="1" x14ac:dyDescent="0.45">
      <c r="A5" s="25" t="s">
        <v>430</v>
      </c>
      <c r="B5" s="106">
        <f>'Staffing Plan'!F$30*0</f>
        <v>0</v>
      </c>
      <c r="C5" s="106">
        <f>'Staffing Plan'!G$30*0</f>
        <v>0</v>
      </c>
      <c r="D5" s="106">
        <f>'Staffing Plan'!H$30*0</f>
        <v>0</v>
      </c>
      <c r="E5" s="106">
        <f>'Staffing Plan'!I$30*0</f>
        <v>0</v>
      </c>
      <c r="F5" s="106">
        <f>'Staffing Plan'!J$30*0</f>
        <v>0</v>
      </c>
      <c r="G5" s="106">
        <f>'Staffing Plan'!K$30*0</f>
        <v>0</v>
      </c>
      <c r="H5" s="106">
        <f>'Staffing Plan'!L$30*0</f>
        <v>0</v>
      </c>
      <c r="I5" s="106">
        <f>'Staffing Plan'!M$30*0</f>
        <v>0</v>
      </c>
      <c r="J5" s="106">
        <f>'Staffing Plan'!N$30*0</f>
        <v>0</v>
      </c>
      <c r="K5" s="106">
        <f>'Staffing Plan'!O$30*0</f>
        <v>0</v>
      </c>
      <c r="L5" s="106">
        <f>'Staffing Plan'!P$30*0</f>
        <v>0</v>
      </c>
      <c r="M5" s="106">
        <f>'Staffing Plan'!Q$30*0</f>
        <v>0</v>
      </c>
      <c r="N5" s="106">
        <f>'Staffing Plan'!R$30*0</f>
        <v>0</v>
      </c>
      <c r="O5" s="106">
        <f>'Staffing Plan'!S$30*0</f>
        <v>0</v>
      </c>
      <c r="P5" s="106">
        <f>'Staffing Plan'!T$30*0</f>
        <v>0</v>
      </c>
      <c r="Q5" s="106">
        <f>'Staffing Plan'!U$30*0</f>
        <v>0</v>
      </c>
      <c r="R5" s="106">
        <f>'Staffing Plan'!V$30*0</f>
        <v>0</v>
      </c>
      <c r="S5" s="106">
        <f>'Staffing Plan'!W$30*0</f>
        <v>0</v>
      </c>
      <c r="T5" s="106">
        <f>'Staffing Plan'!X$30*0</f>
        <v>0</v>
      </c>
      <c r="U5" s="106">
        <f>'Staffing Plan'!Y$30*0</f>
        <v>0</v>
      </c>
      <c r="V5" s="106">
        <f>'Staffing Plan'!Z$30*0</f>
        <v>0</v>
      </c>
      <c r="W5" s="106">
        <f>'Staffing Plan'!AA$30*0</f>
        <v>0</v>
      </c>
      <c r="X5" s="106">
        <f>'Staffing Plan'!AB$30*0</f>
        <v>0</v>
      </c>
      <c r="Y5" s="106">
        <f>'Staffing Plan'!AC$30*0</f>
        <v>0</v>
      </c>
      <c r="Z5" s="106">
        <f>'Staffing Plan'!AD$30*100</f>
        <v>200</v>
      </c>
      <c r="AA5" s="106">
        <f>'Staffing Plan'!AE$30*100</f>
        <v>200</v>
      </c>
      <c r="AB5" s="106">
        <f>'Staffing Plan'!AF$30*100</f>
        <v>300</v>
      </c>
      <c r="AC5" s="106">
        <f>'Staffing Plan'!AG$30*100</f>
        <v>300</v>
      </c>
      <c r="AD5" s="106">
        <f>'Staffing Plan'!AH$30*100</f>
        <v>300</v>
      </c>
      <c r="AE5" s="106">
        <f>'Staffing Plan'!AI$30*100</f>
        <v>300</v>
      </c>
      <c r="AF5" s="106">
        <f>'Staffing Plan'!AJ$30*100</f>
        <v>300</v>
      </c>
      <c r="AG5" s="106">
        <f>'Staffing Plan'!AK$30*100</f>
        <v>300</v>
      </c>
      <c r="AH5" s="106">
        <f>'Staffing Plan'!AL$30*100</f>
        <v>300</v>
      </c>
      <c r="AI5" s="106">
        <f>'Staffing Plan'!AM$30*100</f>
        <v>300</v>
      </c>
      <c r="AJ5" s="106">
        <f>'Staffing Plan'!AN$30*100</f>
        <v>300</v>
      </c>
      <c r="AK5" s="106">
        <f>'Staffing Plan'!AO$30*100</f>
        <v>300</v>
      </c>
      <c r="AL5" s="106"/>
      <c r="AM5" s="62"/>
      <c r="AN5" s="62"/>
    </row>
    <row r="6" spans="1:40" ht="14.25" customHeight="1" x14ac:dyDescent="0.45">
      <c r="A6" s="23" t="s">
        <v>431</v>
      </c>
      <c r="B6" s="107">
        <f>'Staffing Plan'!F$30*100</f>
        <v>0</v>
      </c>
      <c r="C6" s="107">
        <f>'Staffing Plan'!G$30*100</f>
        <v>0</v>
      </c>
      <c r="D6" s="107">
        <f>'Staffing Plan'!H$30*100</f>
        <v>0</v>
      </c>
      <c r="E6" s="107">
        <f>'Staffing Plan'!I$30*100</f>
        <v>100</v>
      </c>
      <c r="F6" s="107">
        <f>'Staffing Plan'!J$30*100</f>
        <v>100</v>
      </c>
      <c r="G6" s="107">
        <f>'Staffing Plan'!K$30*100</f>
        <v>100</v>
      </c>
      <c r="H6" s="107">
        <f>'Staffing Plan'!L$30*100</f>
        <v>100</v>
      </c>
      <c r="I6" s="107">
        <f>'Staffing Plan'!M$30*100</f>
        <v>100</v>
      </c>
      <c r="J6" s="107">
        <f>'Staffing Plan'!N$30*100</f>
        <v>100</v>
      </c>
      <c r="K6" s="107">
        <f>'Staffing Plan'!O$30*100</f>
        <v>100</v>
      </c>
      <c r="L6" s="107">
        <f>'Staffing Plan'!P$30*100</f>
        <v>100</v>
      </c>
      <c r="M6" s="107">
        <f>'Staffing Plan'!Q$30*100</f>
        <v>100</v>
      </c>
      <c r="N6" s="107">
        <f>'Staffing Plan'!R$30*125</f>
        <v>125</v>
      </c>
      <c r="O6" s="107">
        <f>'Staffing Plan'!S$30*125</f>
        <v>125</v>
      </c>
      <c r="P6" s="107">
        <f>'Staffing Plan'!T$30*125</f>
        <v>125</v>
      </c>
      <c r="Q6" s="107">
        <f>'Staffing Plan'!U$30*125</f>
        <v>250</v>
      </c>
      <c r="R6" s="107">
        <f>'Staffing Plan'!V$30*125</f>
        <v>250</v>
      </c>
      <c r="S6" s="107">
        <f>'Staffing Plan'!W$30*125</f>
        <v>250</v>
      </c>
      <c r="T6" s="107">
        <f>'Staffing Plan'!X$30*125</f>
        <v>250</v>
      </c>
      <c r="U6" s="107">
        <f>'Staffing Plan'!Y$30*125</f>
        <v>250</v>
      </c>
      <c r="V6" s="107">
        <f>'Staffing Plan'!Z$30*125</f>
        <v>250</v>
      </c>
      <c r="W6" s="107">
        <f>'Staffing Plan'!AA$30*125</f>
        <v>250</v>
      </c>
      <c r="X6" s="107">
        <f>'Staffing Plan'!AB$30*125</f>
        <v>250</v>
      </c>
      <c r="Y6" s="107">
        <f>'Staffing Plan'!AC$30*125</f>
        <v>250</v>
      </c>
      <c r="Z6" s="107">
        <f>'Staffing Plan'!AD$30*150</f>
        <v>300</v>
      </c>
      <c r="AA6" s="107">
        <f>'Staffing Plan'!AE$30*150</f>
        <v>300</v>
      </c>
      <c r="AB6" s="107">
        <f>'Staffing Plan'!AF$30*150</f>
        <v>450</v>
      </c>
      <c r="AC6" s="107">
        <f>'Staffing Plan'!AG$30*150</f>
        <v>450</v>
      </c>
      <c r="AD6" s="107">
        <f>'Staffing Plan'!AH$30*150</f>
        <v>450</v>
      </c>
      <c r="AE6" s="107">
        <f>'Staffing Plan'!AI$30*150</f>
        <v>450</v>
      </c>
      <c r="AF6" s="107">
        <f>'Staffing Plan'!AJ$30*150</f>
        <v>450</v>
      </c>
      <c r="AG6" s="107">
        <f>'Staffing Plan'!AK$30*150</f>
        <v>450</v>
      </c>
      <c r="AH6" s="107">
        <f>'Staffing Plan'!AL$30*150</f>
        <v>450</v>
      </c>
      <c r="AI6" s="107">
        <f>'Staffing Plan'!AM$30*150</f>
        <v>450</v>
      </c>
      <c r="AJ6" s="107">
        <f>'Staffing Plan'!AN$30*150</f>
        <v>450</v>
      </c>
      <c r="AK6" s="107">
        <f>'Staffing Plan'!AO$30*150</f>
        <v>450</v>
      </c>
      <c r="AL6" s="107"/>
      <c r="AM6" s="104"/>
      <c r="AN6" s="104"/>
    </row>
    <row r="7" spans="1:40" ht="14.25" customHeight="1" x14ac:dyDescent="0.45">
      <c r="A7" s="25" t="s">
        <v>432</v>
      </c>
      <c r="B7" s="27">
        <v>500</v>
      </c>
      <c r="C7" s="27">
        <v>500</v>
      </c>
      <c r="D7" s="27">
        <v>500</v>
      </c>
      <c r="E7" s="27">
        <v>1500</v>
      </c>
      <c r="F7" s="27">
        <v>1500</v>
      </c>
      <c r="G7" s="27">
        <v>1500</v>
      </c>
      <c r="H7" s="27">
        <v>1500</v>
      </c>
      <c r="I7" s="27">
        <v>1500</v>
      </c>
      <c r="J7" s="27">
        <v>1500</v>
      </c>
      <c r="K7" s="27">
        <v>1800</v>
      </c>
      <c r="L7" s="27">
        <v>1800</v>
      </c>
      <c r="M7" s="27">
        <v>1800</v>
      </c>
      <c r="N7" s="27">
        <v>4200</v>
      </c>
      <c r="O7" s="27">
        <v>4200</v>
      </c>
      <c r="P7" s="27">
        <v>4200</v>
      </c>
      <c r="Q7" s="27">
        <v>4800</v>
      </c>
      <c r="R7" s="27">
        <v>4800</v>
      </c>
      <c r="S7" s="27">
        <v>4800</v>
      </c>
      <c r="T7" s="27">
        <v>4800</v>
      </c>
      <c r="U7" s="27">
        <v>4800</v>
      </c>
      <c r="V7" s="27">
        <v>4800</v>
      </c>
      <c r="W7" s="27">
        <v>4800</v>
      </c>
      <c r="X7" s="27">
        <v>4800</v>
      </c>
      <c r="Y7" s="27">
        <v>4800</v>
      </c>
      <c r="Z7" s="27">
        <v>4800</v>
      </c>
      <c r="AA7" s="27">
        <v>4800</v>
      </c>
      <c r="AB7" s="27">
        <v>6000</v>
      </c>
      <c r="AC7" s="27">
        <v>6000</v>
      </c>
      <c r="AD7" s="27">
        <v>6000</v>
      </c>
      <c r="AE7" s="27">
        <v>6000</v>
      </c>
      <c r="AF7" s="27">
        <v>6000</v>
      </c>
      <c r="AG7" s="27">
        <v>6000</v>
      </c>
      <c r="AH7" s="27">
        <v>6000</v>
      </c>
      <c r="AI7" s="27">
        <v>6000</v>
      </c>
      <c r="AJ7" s="27">
        <v>6000</v>
      </c>
      <c r="AK7" s="27">
        <v>6000</v>
      </c>
      <c r="AL7" s="106"/>
      <c r="AM7" s="62"/>
      <c r="AN7" s="62"/>
    </row>
    <row r="8" spans="1:40" ht="14.25" customHeight="1" x14ac:dyDescent="0.45">
      <c r="A8" s="23" t="s">
        <v>433</v>
      </c>
      <c r="B8" s="108">
        <v>0</v>
      </c>
      <c r="C8" s="108">
        <v>0</v>
      </c>
      <c r="D8" s="108">
        <v>0</v>
      </c>
      <c r="E8" s="108">
        <v>750</v>
      </c>
      <c r="F8" s="108">
        <v>750</v>
      </c>
      <c r="G8" s="108">
        <v>750</v>
      </c>
      <c r="H8" s="108">
        <v>750</v>
      </c>
      <c r="I8" s="108">
        <v>750</v>
      </c>
      <c r="J8" s="108">
        <v>750</v>
      </c>
      <c r="K8" s="108">
        <v>750</v>
      </c>
      <c r="L8" s="108">
        <v>750</v>
      </c>
      <c r="M8" s="108">
        <v>750</v>
      </c>
      <c r="N8" s="108">
        <v>1500</v>
      </c>
      <c r="O8" s="108">
        <v>1500</v>
      </c>
      <c r="P8" s="108">
        <v>1500</v>
      </c>
      <c r="Q8" s="108">
        <v>1500</v>
      </c>
      <c r="R8" s="108">
        <v>1500</v>
      </c>
      <c r="S8" s="108">
        <v>1500</v>
      </c>
      <c r="T8" s="108">
        <v>1500</v>
      </c>
      <c r="U8" s="108">
        <v>1500</v>
      </c>
      <c r="V8" s="108">
        <v>1500</v>
      </c>
      <c r="W8" s="108">
        <v>1500</v>
      </c>
      <c r="X8" s="108">
        <v>1500</v>
      </c>
      <c r="Y8" s="108">
        <v>1500</v>
      </c>
      <c r="Z8" s="108">
        <v>2500</v>
      </c>
      <c r="AA8" s="108">
        <v>2500</v>
      </c>
      <c r="AB8" s="108">
        <v>2500</v>
      </c>
      <c r="AC8" s="108">
        <v>2500</v>
      </c>
      <c r="AD8" s="108">
        <v>2500</v>
      </c>
      <c r="AE8" s="108">
        <v>2500</v>
      </c>
      <c r="AF8" s="108">
        <v>2500</v>
      </c>
      <c r="AG8" s="108">
        <v>2500</v>
      </c>
      <c r="AH8" s="108">
        <v>2500</v>
      </c>
      <c r="AI8" s="108">
        <v>2500</v>
      </c>
      <c r="AJ8" s="108">
        <v>2500</v>
      </c>
      <c r="AK8" s="108">
        <v>2500</v>
      </c>
      <c r="AL8" s="107"/>
      <c r="AM8" s="104"/>
      <c r="AN8" s="104"/>
    </row>
    <row r="9" spans="1:40" ht="14.25" customHeight="1" x14ac:dyDescent="0.45">
      <c r="A9" s="25" t="s">
        <v>434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4833</v>
      </c>
      <c r="L9" s="27">
        <v>4833</v>
      </c>
      <c r="M9" s="27">
        <v>4833</v>
      </c>
      <c r="N9" s="27">
        <v>833</v>
      </c>
      <c r="O9" s="27">
        <v>833</v>
      </c>
      <c r="P9" s="27">
        <v>833</v>
      </c>
      <c r="Q9" s="27">
        <v>833</v>
      </c>
      <c r="R9" s="27">
        <v>833</v>
      </c>
      <c r="S9" s="27">
        <v>8333</v>
      </c>
      <c r="T9" s="27">
        <v>8333</v>
      </c>
      <c r="U9" s="27">
        <v>833</v>
      </c>
      <c r="V9" s="27">
        <v>833</v>
      </c>
      <c r="W9" s="27">
        <v>833</v>
      </c>
      <c r="X9" s="27">
        <v>833</v>
      </c>
      <c r="Y9" s="27">
        <v>833</v>
      </c>
      <c r="Z9" s="27">
        <v>833</v>
      </c>
      <c r="AA9" s="27">
        <v>833</v>
      </c>
      <c r="AB9" s="27">
        <v>833</v>
      </c>
      <c r="AC9" s="27">
        <v>833</v>
      </c>
      <c r="AD9" s="27">
        <v>833</v>
      </c>
      <c r="AE9" s="27">
        <v>6833</v>
      </c>
      <c r="AF9" s="27">
        <v>6833</v>
      </c>
      <c r="AG9" s="27">
        <v>833</v>
      </c>
      <c r="AH9" s="27">
        <v>833</v>
      </c>
      <c r="AI9" s="27">
        <v>833</v>
      </c>
      <c r="AJ9" s="27">
        <v>833</v>
      </c>
      <c r="AK9" s="27">
        <v>833</v>
      </c>
      <c r="AL9" s="106"/>
      <c r="AM9" s="62"/>
      <c r="AN9" s="62"/>
    </row>
    <row r="10" spans="1:40" ht="14.25" customHeight="1" x14ac:dyDescent="0.45">
      <c r="A10" s="23" t="s">
        <v>435</v>
      </c>
      <c r="B10" s="108">
        <v>6000</v>
      </c>
      <c r="C10" s="108">
        <v>0</v>
      </c>
      <c r="D10" s="108">
        <v>0</v>
      </c>
      <c r="E10" s="108">
        <v>2000</v>
      </c>
      <c r="F10" s="108">
        <v>0</v>
      </c>
      <c r="G10" s="108">
        <v>2000</v>
      </c>
      <c r="H10" s="108">
        <v>0</v>
      </c>
      <c r="I10" s="108">
        <v>2000</v>
      </c>
      <c r="J10" s="108">
        <v>0</v>
      </c>
      <c r="K10" s="108">
        <v>2000</v>
      </c>
      <c r="L10" s="108">
        <v>0</v>
      </c>
      <c r="M10" s="108">
        <v>0</v>
      </c>
      <c r="N10" s="108">
        <v>2000</v>
      </c>
      <c r="O10" s="108">
        <v>2000</v>
      </c>
      <c r="P10" s="108">
        <v>0</v>
      </c>
      <c r="Q10" s="108">
        <v>2000</v>
      </c>
      <c r="R10" s="108">
        <v>0</v>
      </c>
      <c r="S10" s="108">
        <v>4000</v>
      </c>
      <c r="T10" s="108">
        <v>0</v>
      </c>
      <c r="U10" s="108">
        <v>2000</v>
      </c>
      <c r="V10" s="108">
        <v>0</v>
      </c>
      <c r="W10" s="108">
        <v>0</v>
      </c>
      <c r="X10" s="108">
        <v>2000</v>
      </c>
      <c r="Y10" s="108">
        <v>4000</v>
      </c>
      <c r="Z10" s="108">
        <v>4000</v>
      </c>
      <c r="AA10" s="108">
        <v>2000</v>
      </c>
      <c r="AB10" s="108">
        <v>4000</v>
      </c>
      <c r="AC10" s="108">
        <v>0</v>
      </c>
      <c r="AD10" s="108">
        <v>0</v>
      </c>
      <c r="AE10" s="108">
        <v>2000</v>
      </c>
      <c r="AF10" s="108">
        <v>0</v>
      </c>
      <c r="AG10" s="108">
        <v>2000</v>
      </c>
      <c r="AH10" s="108">
        <v>0</v>
      </c>
      <c r="AI10" s="108">
        <v>2000</v>
      </c>
      <c r="AJ10" s="108">
        <v>0</v>
      </c>
      <c r="AK10" s="108">
        <v>2000</v>
      </c>
      <c r="AL10" s="107"/>
      <c r="AM10" s="104"/>
      <c r="AN10" s="104"/>
    </row>
    <row r="11" spans="1:40" ht="14.25" customHeight="1" x14ac:dyDescent="0.45">
      <c r="A11" s="25" t="s">
        <v>436</v>
      </c>
      <c r="B11" s="27">
        <v>2500</v>
      </c>
      <c r="C11" s="27">
        <v>2500</v>
      </c>
      <c r="D11" s="27">
        <v>2500</v>
      </c>
      <c r="E11" s="27">
        <v>2500</v>
      </c>
      <c r="F11" s="27">
        <v>2500</v>
      </c>
      <c r="G11" s="27">
        <v>2500</v>
      </c>
      <c r="H11" s="27">
        <v>2500</v>
      </c>
      <c r="I11" s="27">
        <v>2500</v>
      </c>
      <c r="J11" s="27">
        <v>2500</v>
      </c>
      <c r="K11" s="27">
        <v>2500</v>
      </c>
      <c r="L11" s="27">
        <v>2500</v>
      </c>
      <c r="M11" s="27">
        <v>2500</v>
      </c>
      <c r="N11" s="27">
        <v>4000</v>
      </c>
      <c r="O11" s="27">
        <v>4000</v>
      </c>
      <c r="P11" s="27">
        <v>4000</v>
      </c>
      <c r="Q11" s="27">
        <v>4000</v>
      </c>
      <c r="R11" s="27">
        <v>4000</v>
      </c>
      <c r="S11" s="27">
        <v>4000</v>
      </c>
      <c r="T11" s="27">
        <v>4000</v>
      </c>
      <c r="U11" s="27">
        <v>4000</v>
      </c>
      <c r="V11" s="27">
        <v>4000</v>
      </c>
      <c r="W11" s="27">
        <v>4000</v>
      </c>
      <c r="X11" s="27">
        <v>4000</v>
      </c>
      <c r="Y11" s="27">
        <v>4000</v>
      </c>
      <c r="Z11" s="27">
        <v>6000</v>
      </c>
      <c r="AA11" s="27">
        <v>6000</v>
      </c>
      <c r="AB11" s="27">
        <v>6000</v>
      </c>
      <c r="AC11" s="27">
        <v>6000</v>
      </c>
      <c r="AD11" s="27">
        <v>6000</v>
      </c>
      <c r="AE11" s="27">
        <v>6000</v>
      </c>
      <c r="AF11" s="27">
        <v>6000</v>
      </c>
      <c r="AG11" s="27">
        <v>6000</v>
      </c>
      <c r="AH11" s="27">
        <v>6000</v>
      </c>
      <c r="AI11" s="27">
        <v>6000</v>
      </c>
      <c r="AJ11" s="27">
        <v>6000</v>
      </c>
      <c r="AK11" s="27">
        <v>6000</v>
      </c>
      <c r="AL11" s="106"/>
      <c r="AM11" s="62"/>
      <c r="AN11" s="62"/>
    </row>
    <row r="12" spans="1:40" ht="14.25" customHeight="1" x14ac:dyDescent="0.45">
      <c r="A12" s="23" t="s">
        <v>437</v>
      </c>
      <c r="B12" s="108">
        <v>0</v>
      </c>
      <c r="C12" s="108">
        <v>0</v>
      </c>
      <c r="D12" s="108">
        <v>0</v>
      </c>
      <c r="E12" s="108">
        <v>2000</v>
      </c>
      <c r="F12" s="108">
        <v>2000</v>
      </c>
      <c r="G12" s="108">
        <v>2000</v>
      </c>
      <c r="H12" s="108">
        <v>2000</v>
      </c>
      <c r="I12" s="108">
        <v>2000</v>
      </c>
      <c r="J12" s="108">
        <v>2000</v>
      </c>
      <c r="K12" s="108">
        <v>2000</v>
      </c>
      <c r="L12" s="108">
        <v>2000</v>
      </c>
      <c r="M12" s="108">
        <v>2000</v>
      </c>
      <c r="N12" s="108">
        <v>3000</v>
      </c>
      <c r="O12" s="108">
        <v>3000</v>
      </c>
      <c r="P12" s="108">
        <v>3000</v>
      </c>
      <c r="Q12" s="108">
        <v>3000</v>
      </c>
      <c r="R12" s="108">
        <v>3000</v>
      </c>
      <c r="S12" s="108">
        <v>3000</v>
      </c>
      <c r="T12" s="108">
        <v>3000</v>
      </c>
      <c r="U12" s="108">
        <v>3000</v>
      </c>
      <c r="V12" s="108">
        <v>3000</v>
      </c>
      <c r="W12" s="108">
        <v>3000</v>
      </c>
      <c r="X12" s="108">
        <v>3000</v>
      </c>
      <c r="Y12" s="108">
        <v>3000</v>
      </c>
      <c r="Z12" s="108">
        <v>4000</v>
      </c>
      <c r="AA12" s="108">
        <v>4000</v>
      </c>
      <c r="AB12" s="108">
        <v>4000</v>
      </c>
      <c r="AC12" s="108">
        <v>4000</v>
      </c>
      <c r="AD12" s="108">
        <v>4000</v>
      </c>
      <c r="AE12" s="108">
        <v>4000</v>
      </c>
      <c r="AF12" s="108">
        <v>4000</v>
      </c>
      <c r="AG12" s="108">
        <v>4000</v>
      </c>
      <c r="AH12" s="108">
        <v>4000</v>
      </c>
      <c r="AI12" s="108">
        <v>4000</v>
      </c>
      <c r="AJ12" s="108">
        <v>4000</v>
      </c>
      <c r="AK12" s="108">
        <v>4000</v>
      </c>
      <c r="AL12" s="107"/>
      <c r="AM12" s="104"/>
      <c r="AN12" s="104"/>
    </row>
    <row r="13" spans="1:40" ht="14.25" customHeight="1" x14ac:dyDescent="0.45">
      <c r="A13" s="25" t="s">
        <v>438</v>
      </c>
      <c r="B13" s="106">
        <f>'Staffing Plan'!F$30*150</f>
        <v>0</v>
      </c>
      <c r="C13" s="106">
        <f>'Staffing Plan'!G$30*150</f>
        <v>0</v>
      </c>
      <c r="D13" s="106">
        <f>'Staffing Plan'!H$30*150</f>
        <v>0</v>
      </c>
      <c r="E13" s="106">
        <f>'Staffing Plan'!I$30*150</f>
        <v>150</v>
      </c>
      <c r="F13" s="106">
        <f>'Staffing Plan'!J$30*150</f>
        <v>150</v>
      </c>
      <c r="G13" s="106">
        <f>'Staffing Plan'!K$30*150</f>
        <v>150</v>
      </c>
      <c r="H13" s="106">
        <f>'Staffing Plan'!L$30*150</f>
        <v>150</v>
      </c>
      <c r="I13" s="106">
        <f>'Staffing Plan'!M$30*150</f>
        <v>150</v>
      </c>
      <c r="J13" s="106">
        <f>'Staffing Plan'!N$30*150</f>
        <v>150</v>
      </c>
      <c r="K13" s="106">
        <f>'Staffing Plan'!O$30*150</f>
        <v>150</v>
      </c>
      <c r="L13" s="106">
        <f>'Staffing Plan'!P$30*150</f>
        <v>150</v>
      </c>
      <c r="M13" s="106">
        <f>'Staffing Plan'!Q$30*150</f>
        <v>150</v>
      </c>
      <c r="N13" s="106">
        <f>'Staffing Plan'!R$30*150</f>
        <v>150</v>
      </c>
      <c r="O13" s="106">
        <f>'Staffing Plan'!S$30*150</f>
        <v>150</v>
      </c>
      <c r="P13" s="106">
        <f>'Staffing Plan'!T$30*150</f>
        <v>150</v>
      </c>
      <c r="Q13" s="106">
        <f>'Staffing Plan'!U$30*150</f>
        <v>300</v>
      </c>
      <c r="R13" s="106">
        <f>'Staffing Plan'!V$30*150</f>
        <v>300</v>
      </c>
      <c r="S13" s="106">
        <f>'Staffing Plan'!W$30*150</f>
        <v>300</v>
      </c>
      <c r="T13" s="106">
        <f>'Staffing Plan'!X$30*150</f>
        <v>300</v>
      </c>
      <c r="U13" s="106">
        <f>'Staffing Plan'!Y$30*150</f>
        <v>300</v>
      </c>
      <c r="V13" s="106">
        <f>'Staffing Plan'!Z$30*150</f>
        <v>300</v>
      </c>
      <c r="W13" s="106">
        <f>'Staffing Plan'!AA$30*150</f>
        <v>300</v>
      </c>
      <c r="X13" s="106">
        <f>'Staffing Plan'!AB$30*150</f>
        <v>300</v>
      </c>
      <c r="Y13" s="106">
        <f>'Staffing Plan'!AC$30*150</f>
        <v>300</v>
      </c>
      <c r="Z13" s="106">
        <f>'Staffing Plan'!AD$30*150</f>
        <v>300</v>
      </c>
      <c r="AA13" s="106">
        <f>'Staffing Plan'!AE$30*150</f>
        <v>300</v>
      </c>
      <c r="AB13" s="106">
        <f>'Staffing Plan'!AF$30*150</f>
        <v>450</v>
      </c>
      <c r="AC13" s="106">
        <f>'Staffing Plan'!AG$30*150</f>
        <v>450</v>
      </c>
      <c r="AD13" s="106">
        <f>'Staffing Plan'!AH$30*150</f>
        <v>450</v>
      </c>
      <c r="AE13" s="106">
        <f>'Staffing Plan'!AI$30*150</f>
        <v>450</v>
      </c>
      <c r="AF13" s="106">
        <f>'Staffing Plan'!AJ$30*150</f>
        <v>450</v>
      </c>
      <c r="AG13" s="106">
        <f>'Staffing Plan'!AK$30*150</f>
        <v>450</v>
      </c>
      <c r="AH13" s="106">
        <f>'Staffing Plan'!AL$30*150</f>
        <v>450</v>
      </c>
      <c r="AI13" s="106">
        <f>'Staffing Plan'!AM$30*150</f>
        <v>450</v>
      </c>
      <c r="AJ13" s="106">
        <f>'Staffing Plan'!AN$30*150</f>
        <v>450</v>
      </c>
      <c r="AK13" s="106">
        <f>'Staffing Plan'!AO$30*150</f>
        <v>450</v>
      </c>
      <c r="AL13" s="106"/>
      <c r="AM13" s="62"/>
      <c r="AN13" s="62"/>
    </row>
    <row r="14" spans="1:40" ht="14.25" customHeight="1" x14ac:dyDescent="0.45">
      <c r="A14" s="23" t="s">
        <v>439</v>
      </c>
      <c r="B14" s="107">
        <f>1500+'Staffing Plan'!F$30*50</f>
        <v>1500</v>
      </c>
      <c r="C14" s="107">
        <f>1500+'Staffing Plan'!G$30*50</f>
        <v>1500</v>
      </c>
      <c r="D14" s="107">
        <f>1500+'Staffing Plan'!H$30*50</f>
        <v>1500</v>
      </c>
      <c r="E14" s="107">
        <f>1500+'Staffing Plan'!I$30*50</f>
        <v>1550</v>
      </c>
      <c r="F14" s="107">
        <f>1500+'Staffing Plan'!J$30*50</f>
        <v>1550</v>
      </c>
      <c r="G14" s="107">
        <f>1500+'Staffing Plan'!K$30*50</f>
        <v>1550</v>
      </c>
      <c r="H14" s="107">
        <f>1500+'Staffing Plan'!L$30*50</f>
        <v>1550</v>
      </c>
      <c r="I14" s="107">
        <f>1500+'Staffing Plan'!M$30*50</f>
        <v>1550</v>
      </c>
      <c r="J14" s="107">
        <f>1500+'Staffing Plan'!N$30*50</f>
        <v>1550</v>
      </c>
      <c r="K14" s="107">
        <f>1500+'Staffing Plan'!O$30*50</f>
        <v>1550</v>
      </c>
      <c r="L14" s="107">
        <f>1500+'Staffing Plan'!P$30*50</f>
        <v>1550</v>
      </c>
      <c r="M14" s="107">
        <f>1500+'Staffing Plan'!Q$30*50</f>
        <v>1550</v>
      </c>
      <c r="N14" s="107">
        <f>1500+'Staffing Plan'!R$30*50</f>
        <v>1550</v>
      </c>
      <c r="O14" s="107">
        <f>1500+'Staffing Plan'!S$30*50</f>
        <v>1550</v>
      </c>
      <c r="P14" s="107">
        <f>1500+'Staffing Plan'!T$30*50</f>
        <v>1550</v>
      </c>
      <c r="Q14" s="107">
        <f>1500+'Staffing Plan'!U$30*50</f>
        <v>1600</v>
      </c>
      <c r="R14" s="107">
        <f>1500+'Staffing Plan'!V$30*50</f>
        <v>1600</v>
      </c>
      <c r="S14" s="107">
        <f>1500+'Staffing Plan'!W$30*50</f>
        <v>1600</v>
      </c>
      <c r="T14" s="107">
        <f>1500+'Staffing Plan'!X$30*50</f>
        <v>1600</v>
      </c>
      <c r="U14" s="107">
        <f>1500+'Staffing Plan'!Y$30*50</f>
        <v>1600</v>
      </c>
      <c r="V14" s="107">
        <f>1500+'Staffing Plan'!Z$30*50</f>
        <v>1600</v>
      </c>
      <c r="W14" s="107">
        <f>1500+'Staffing Plan'!AA$30*50</f>
        <v>1600</v>
      </c>
      <c r="X14" s="107">
        <f>1500+'Staffing Plan'!AB$30*50</f>
        <v>1600</v>
      </c>
      <c r="Y14" s="107">
        <f>1500+'Staffing Plan'!AC$30*50</f>
        <v>1600</v>
      </c>
      <c r="Z14" s="107">
        <f>1500+'Staffing Plan'!AD$30*50</f>
        <v>1600</v>
      </c>
      <c r="AA14" s="107">
        <f>1500+'Staffing Plan'!AE$30*50</f>
        <v>1600</v>
      </c>
      <c r="AB14" s="107">
        <f>1500+'Staffing Plan'!AF$30*50</f>
        <v>1650</v>
      </c>
      <c r="AC14" s="107">
        <f>1500+'Staffing Plan'!AG$30*50</f>
        <v>1650</v>
      </c>
      <c r="AD14" s="107">
        <f>1500+'Staffing Plan'!AH$30*50</f>
        <v>1650</v>
      </c>
      <c r="AE14" s="107">
        <f>1500+'Staffing Plan'!AI$30*50</f>
        <v>1650</v>
      </c>
      <c r="AF14" s="107">
        <f>1500+'Staffing Plan'!AJ$30*50</f>
        <v>1650</v>
      </c>
      <c r="AG14" s="107">
        <f>1500+'Staffing Plan'!AK$30*50</f>
        <v>1650</v>
      </c>
      <c r="AH14" s="107">
        <f>1500+'Staffing Plan'!AL$30*50</f>
        <v>1650</v>
      </c>
      <c r="AI14" s="107">
        <f>1500+'Staffing Plan'!AM$30*50</f>
        <v>1650</v>
      </c>
      <c r="AJ14" s="107">
        <f>1500+'Staffing Plan'!AN$30*50</f>
        <v>1650</v>
      </c>
      <c r="AK14" s="107">
        <f>1500+'Staffing Plan'!AO$30*50</f>
        <v>1650</v>
      </c>
      <c r="AL14" s="107"/>
      <c r="AM14" s="104"/>
      <c r="AN14" s="104"/>
    </row>
    <row r="15" spans="1:40" ht="14.25" customHeight="1" x14ac:dyDescent="0.45">
      <c r="A15" s="28" t="s">
        <v>440</v>
      </c>
      <c r="B15" s="29">
        <f t="shared" ref="B15:AK15" si="0">B5+B6+B7+B8+B9+B10+B11+B12+B13+B14</f>
        <v>10500</v>
      </c>
      <c r="C15" s="29">
        <f t="shared" si="0"/>
        <v>4500</v>
      </c>
      <c r="D15" s="29">
        <f t="shared" si="0"/>
        <v>4500</v>
      </c>
      <c r="E15" s="29">
        <f t="shared" si="0"/>
        <v>10550</v>
      </c>
      <c r="F15" s="29">
        <f t="shared" si="0"/>
        <v>8550</v>
      </c>
      <c r="G15" s="29">
        <f t="shared" si="0"/>
        <v>10550</v>
      </c>
      <c r="H15" s="29">
        <f t="shared" si="0"/>
        <v>8550</v>
      </c>
      <c r="I15" s="29">
        <f t="shared" si="0"/>
        <v>10550</v>
      </c>
      <c r="J15" s="29">
        <f t="shared" si="0"/>
        <v>8550</v>
      </c>
      <c r="K15" s="29">
        <f t="shared" si="0"/>
        <v>15683</v>
      </c>
      <c r="L15" s="29">
        <f t="shared" si="0"/>
        <v>13683</v>
      </c>
      <c r="M15" s="29">
        <f t="shared" si="0"/>
        <v>13683</v>
      </c>
      <c r="N15" s="29">
        <f t="shared" si="0"/>
        <v>17358</v>
      </c>
      <c r="O15" s="29">
        <f t="shared" si="0"/>
        <v>17358</v>
      </c>
      <c r="P15" s="29">
        <f t="shared" si="0"/>
        <v>15358</v>
      </c>
      <c r="Q15" s="29">
        <f t="shared" si="0"/>
        <v>18283</v>
      </c>
      <c r="R15" s="29">
        <f t="shared" si="0"/>
        <v>16283</v>
      </c>
      <c r="S15" s="29">
        <f t="shared" si="0"/>
        <v>27783</v>
      </c>
      <c r="T15" s="29">
        <f t="shared" si="0"/>
        <v>23783</v>
      </c>
      <c r="U15" s="29">
        <f t="shared" si="0"/>
        <v>18283</v>
      </c>
      <c r="V15" s="29">
        <f t="shared" si="0"/>
        <v>16283</v>
      </c>
      <c r="W15" s="29">
        <f t="shared" si="0"/>
        <v>16283</v>
      </c>
      <c r="X15" s="29">
        <f t="shared" si="0"/>
        <v>18283</v>
      </c>
      <c r="Y15" s="29">
        <f t="shared" si="0"/>
        <v>20283</v>
      </c>
      <c r="Z15" s="29">
        <f t="shared" si="0"/>
        <v>24533</v>
      </c>
      <c r="AA15" s="29">
        <f t="shared" si="0"/>
        <v>22533</v>
      </c>
      <c r="AB15" s="29">
        <f t="shared" si="0"/>
        <v>26183</v>
      </c>
      <c r="AC15" s="29">
        <f t="shared" si="0"/>
        <v>22183</v>
      </c>
      <c r="AD15" s="29">
        <f t="shared" si="0"/>
        <v>22183</v>
      </c>
      <c r="AE15" s="29">
        <f t="shared" si="0"/>
        <v>30183</v>
      </c>
      <c r="AF15" s="29">
        <f t="shared" si="0"/>
        <v>28183</v>
      </c>
      <c r="AG15" s="29">
        <f t="shared" si="0"/>
        <v>24183</v>
      </c>
      <c r="AH15" s="29">
        <f t="shared" si="0"/>
        <v>22183</v>
      </c>
      <c r="AI15" s="29">
        <f t="shared" si="0"/>
        <v>24183</v>
      </c>
      <c r="AJ15" s="29">
        <f t="shared" si="0"/>
        <v>22183</v>
      </c>
      <c r="AK15" s="29">
        <f t="shared" si="0"/>
        <v>24183</v>
      </c>
      <c r="AL15" s="29"/>
      <c r="AM15" s="35"/>
      <c r="AN15" s="35"/>
    </row>
    <row r="16" spans="1:40" ht="14.25" customHeight="1" x14ac:dyDescent="0.45">
      <c r="A16" s="164" t="s">
        <v>441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3"/>
      <c r="AL16" s="109"/>
      <c r="AM16" s="104"/>
      <c r="AN16" s="104"/>
    </row>
    <row r="17" spans="1:40" ht="14.25" customHeight="1" x14ac:dyDescent="0.45">
      <c r="A17" s="25" t="s">
        <v>442</v>
      </c>
      <c r="B17" s="106">
        <f>'Model Inputs'!B$15</f>
        <v>5000</v>
      </c>
      <c r="C17" s="106">
        <f>'Model Inputs'!C$15</f>
        <v>5000</v>
      </c>
      <c r="D17" s="106">
        <f>'Model Inputs'!D$15</f>
        <v>5000</v>
      </c>
      <c r="E17" s="106">
        <f>'Model Inputs'!E$15</f>
        <v>10000</v>
      </c>
      <c r="F17" s="106">
        <f>'Model Inputs'!F$15</f>
        <v>10000</v>
      </c>
      <c r="G17" s="106">
        <f>'Model Inputs'!G$15</f>
        <v>10000</v>
      </c>
      <c r="H17" s="106">
        <f>'Model Inputs'!H$15</f>
        <v>10000</v>
      </c>
      <c r="I17" s="106">
        <f>'Model Inputs'!I$15</f>
        <v>10000</v>
      </c>
      <c r="J17" s="106">
        <f>'Model Inputs'!J$15</f>
        <v>10000</v>
      </c>
      <c r="K17" s="106">
        <f>'Model Inputs'!K$15</f>
        <v>10000</v>
      </c>
      <c r="L17" s="106">
        <f>'Model Inputs'!L$15</f>
        <v>10000</v>
      </c>
      <c r="M17" s="106">
        <f>'Model Inputs'!M$15</f>
        <v>10000</v>
      </c>
      <c r="N17" s="106">
        <f>'Model Inputs'!N$15</f>
        <v>10000</v>
      </c>
      <c r="O17" s="106">
        <f>'Model Inputs'!O$15</f>
        <v>10000</v>
      </c>
      <c r="P17" s="106">
        <f>'Model Inputs'!P$15</f>
        <v>10000</v>
      </c>
      <c r="Q17" s="106">
        <f>'Model Inputs'!Q$15</f>
        <v>15000</v>
      </c>
      <c r="R17" s="106">
        <f>'Model Inputs'!R$15</f>
        <v>15000</v>
      </c>
      <c r="S17" s="106">
        <f>'Model Inputs'!S$15</f>
        <v>15000</v>
      </c>
      <c r="T17" s="106">
        <f>'Model Inputs'!T$15</f>
        <v>15000</v>
      </c>
      <c r="U17" s="106">
        <f>'Model Inputs'!U$15</f>
        <v>15000</v>
      </c>
      <c r="V17" s="106">
        <f>'Model Inputs'!V$15</f>
        <v>15000</v>
      </c>
      <c r="W17" s="106">
        <f>'Model Inputs'!W$15</f>
        <v>20000</v>
      </c>
      <c r="X17" s="106">
        <f>'Model Inputs'!X$15</f>
        <v>20000</v>
      </c>
      <c r="Y17" s="106">
        <f>'Model Inputs'!Y$15</f>
        <v>20000</v>
      </c>
      <c r="Z17" s="106">
        <f>'Model Inputs'!Z$15</f>
        <v>20000</v>
      </c>
      <c r="AA17" s="106">
        <f>'Model Inputs'!AA$15</f>
        <v>20000</v>
      </c>
      <c r="AB17" s="106">
        <f>'Model Inputs'!AB$15</f>
        <v>20000</v>
      </c>
      <c r="AC17" s="106">
        <f>'Model Inputs'!AC$15</f>
        <v>20000</v>
      </c>
      <c r="AD17" s="106">
        <f>'Model Inputs'!AD$15</f>
        <v>20000</v>
      </c>
      <c r="AE17" s="106">
        <f>'Model Inputs'!AE$15</f>
        <v>20000</v>
      </c>
      <c r="AF17" s="106">
        <f>'Model Inputs'!AF$15</f>
        <v>20000</v>
      </c>
      <c r="AG17" s="106">
        <f>'Model Inputs'!AG$15</f>
        <v>20000</v>
      </c>
      <c r="AH17" s="106">
        <f>'Model Inputs'!AH$15</f>
        <v>20000</v>
      </c>
      <c r="AI17" s="106">
        <f>'Model Inputs'!AI$15</f>
        <v>20000</v>
      </c>
      <c r="AJ17" s="106">
        <f>'Model Inputs'!AJ$15</f>
        <v>20000</v>
      </c>
      <c r="AK17" s="106">
        <f>'Model Inputs'!AK$15</f>
        <v>20000</v>
      </c>
      <c r="AL17" s="106">
        <f>'Model Inputs'!$D$15</f>
        <v>5000</v>
      </c>
      <c r="AM17" s="110">
        <f>'Model Inputs'!$D$15</f>
        <v>5000</v>
      </c>
      <c r="AN17" s="110">
        <f>'Model Inputs'!$D$15</f>
        <v>5000</v>
      </c>
    </row>
    <row r="18" spans="1:40" ht="14.25" customHeight="1" x14ac:dyDescent="0.45">
      <c r="A18" s="37" t="s">
        <v>443</v>
      </c>
      <c r="B18" s="41">
        <v>0</v>
      </c>
      <c r="C18" s="41">
        <v>0</v>
      </c>
      <c r="D18" s="41">
        <v>0</v>
      </c>
      <c r="E18" s="111">
        <f>'Model Inputs'!E231</f>
        <v>0</v>
      </c>
      <c r="F18" s="111">
        <f>'Model Inputs'!F231</f>
        <v>0</v>
      </c>
      <c r="G18" s="111">
        <f>'Model Inputs'!G231</f>
        <v>0</v>
      </c>
      <c r="H18" s="111">
        <f>'Model Inputs'!H231</f>
        <v>0</v>
      </c>
      <c r="I18" s="111">
        <f>'Model Inputs'!I231</f>
        <v>0</v>
      </c>
      <c r="J18" s="111">
        <f>'Model Inputs'!J231</f>
        <v>0</v>
      </c>
      <c r="K18" s="111">
        <f>'Model Inputs'!K231</f>
        <v>0</v>
      </c>
      <c r="L18" s="111">
        <f>'Model Inputs'!L231</f>
        <v>0</v>
      </c>
      <c r="M18" s="111">
        <f>'Model Inputs'!M231</f>
        <v>0</v>
      </c>
      <c r="N18" s="111">
        <f>'Model Inputs'!N231</f>
        <v>0</v>
      </c>
      <c r="O18" s="111">
        <f>'Model Inputs'!O231</f>
        <v>0</v>
      </c>
      <c r="P18" s="111">
        <f>'Model Inputs'!P231</f>
        <v>0</v>
      </c>
      <c r="Q18" s="111">
        <f>'Model Inputs'!Q231</f>
        <v>2414.46</v>
      </c>
      <c r="R18" s="111">
        <f>'Model Inputs'!R231</f>
        <v>2453.61</v>
      </c>
      <c r="S18" s="111">
        <f>'Model Inputs'!S231</f>
        <v>2563.5</v>
      </c>
      <c r="T18" s="111">
        <f>'Model Inputs'!T231</f>
        <v>2602.65</v>
      </c>
      <c r="U18" s="111">
        <f>'Model Inputs'!U231</f>
        <v>2602.65</v>
      </c>
      <c r="V18" s="111">
        <f>'Model Inputs'!V231</f>
        <v>2602.65</v>
      </c>
      <c r="W18" s="111">
        <f>'Model Inputs'!W231</f>
        <v>2641.8</v>
      </c>
      <c r="X18" s="111">
        <f>'Model Inputs'!X231</f>
        <v>2786.25</v>
      </c>
      <c r="Y18" s="111">
        <f>'Model Inputs'!Y231</f>
        <v>2899.1099999999997</v>
      </c>
      <c r="Z18" s="111">
        <f>'Model Inputs'!Z231</f>
        <v>2971.5239999999999</v>
      </c>
      <c r="AA18" s="111">
        <f>'Model Inputs'!AA231</f>
        <v>2971.5239999999999</v>
      </c>
      <c r="AB18" s="111">
        <f>'Model Inputs'!AB231</f>
        <v>4846.5239999999994</v>
      </c>
      <c r="AC18" s="111">
        <f>'Model Inputs'!AC231</f>
        <v>4846.5239999999994</v>
      </c>
      <c r="AD18" s="111">
        <f>'Model Inputs'!AD231</f>
        <v>4846.5239999999994</v>
      </c>
      <c r="AE18" s="111">
        <f>'Model Inputs'!AE231</f>
        <v>4846.5239999999994</v>
      </c>
      <c r="AF18" s="111">
        <f>'Model Inputs'!AF231</f>
        <v>4846.5239999999994</v>
      </c>
      <c r="AG18" s="111">
        <f>'Model Inputs'!AG231</f>
        <v>4846.5239999999994</v>
      </c>
      <c r="AH18" s="111">
        <f>'Model Inputs'!AH231</f>
        <v>4846.5239999999994</v>
      </c>
      <c r="AI18" s="111">
        <f>'Model Inputs'!AI231</f>
        <v>4846.5239999999994</v>
      </c>
      <c r="AJ18" s="111">
        <f>'Model Inputs'!AJ231</f>
        <v>4846.5239999999994</v>
      </c>
      <c r="AK18" s="111">
        <f>'Model Inputs'!AK231</f>
        <v>4846.5239999999994</v>
      </c>
      <c r="AL18" s="111">
        <f>'Model Inputs'!AL231</f>
        <v>3750</v>
      </c>
      <c r="AM18" s="111">
        <f>'Model Inputs'!AM231</f>
        <v>3750</v>
      </c>
      <c r="AN18" s="111">
        <f>'Model Inputs'!AN231</f>
        <v>3750</v>
      </c>
    </row>
    <row r="19" spans="1:40" ht="14.25" customHeight="1" x14ac:dyDescent="0.45">
      <c r="A19" s="39" t="s">
        <v>444</v>
      </c>
      <c r="B19" s="39">
        <v>0</v>
      </c>
      <c r="C19" s="39">
        <v>0</v>
      </c>
      <c r="D19" s="39">
        <v>0</v>
      </c>
      <c r="E19" s="39">
        <v>1000</v>
      </c>
      <c r="F19" s="39">
        <v>1000</v>
      </c>
      <c r="G19" s="39">
        <v>1000</v>
      </c>
      <c r="H19" s="39">
        <v>1000</v>
      </c>
      <c r="I19" s="39">
        <v>1000</v>
      </c>
      <c r="J19" s="39">
        <v>1000</v>
      </c>
      <c r="K19" s="39">
        <v>1000</v>
      </c>
      <c r="L19" s="39">
        <v>1000</v>
      </c>
      <c r="M19" s="39">
        <v>1000</v>
      </c>
      <c r="N19" s="39">
        <v>2000</v>
      </c>
      <c r="O19" s="39">
        <v>2000</v>
      </c>
      <c r="P19" s="39">
        <v>2000</v>
      </c>
      <c r="Q19" s="39">
        <v>2000</v>
      </c>
      <c r="R19" s="39">
        <v>2000</v>
      </c>
      <c r="S19" s="39">
        <v>2000</v>
      </c>
      <c r="T19" s="39">
        <v>2000</v>
      </c>
      <c r="U19" s="39">
        <v>2000</v>
      </c>
      <c r="V19" s="39">
        <v>2000</v>
      </c>
      <c r="W19" s="39">
        <v>2000</v>
      </c>
      <c r="X19" s="39">
        <v>2000</v>
      </c>
      <c r="Y19" s="39">
        <v>2000</v>
      </c>
      <c r="Z19" s="39">
        <v>3000</v>
      </c>
      <c r="AA19" s="39">
        <v>3000</v>
      </c>
      <c r="AB19" s="39">
        <v>3000</v>
      </c>
      <c r="AC19" s="39">
        <v>3000</v>
      </c>
      <c r="AD19" s="39">
        <v>3000</v>
      </c>
      <c r="AE19" s="39">
        <v>3000</v>
      </c>
      <c r="AF19" s="39">
        <v>3000</v>
      </c>
      <c r="AG19" s="39">
        <v>3000</v>
      </c>
      <c r="AH19" s="39">
        <v>3000</v>
      </c>
      <c r="AI19" s="39">
        <v>3000</v>
      </c>
      <c r="AJ19" s="39">
        <v>3000</v>
      </c>
      <c r="AK19" s="39">
        <v>3000</v>
      </c>
      <c r="AL19" s="39">
        <v>3000</v>
      </c>
      <c r="AM19" s="39">
        <v>3000</v>
      </c>
      <c r="AN19" s="39">
        <v>3000</v>
      </c>
    </row>
    <row r="20" spans="1:40" ht="14.25" customHeight="1" x14ac:dyDescent="0.45">
      <c r="A20" s="23" t="s">
        <v>445</v>
      </c>
      <c r="B20" s="104">
        <f>'Revenue Model'!B$34*'Model Inputs'!$B$20</f>
        <v>0</v>
      </c>
      <c r="C20" s="104">
        <f>'Revenue Model'!C$34*'Model Inputs'!$B$20</f>
        <v>0</v>
      </c>
      <c r="D20" s="104">
        <f>'Revenue Model'!D$34*'Model Inputs'!$B$20</f>
        <v>0</v>
      </c>
      <c r="E20" s="104">
        <f>'Revenue Model'!E$34*'Model Inputs'!$B$20</f>
        <v>0</v>
      </c>
      <c r="F20" s="104">
        <f>'Revenue Model'!F$34*'Model Inputs'!$B$20</f>
        <v>0</v>
      </c>
      <c r="G20" s="104">
        <f>'Revenue Model'!G$34*'Model Inputs'!$B$20</f>
        <v>0</v>
      </c>
      <c r="H20" s="104">
        <f>'Revenue Model'!H$34*'Model Inputs'!$B$20</f>
        <v>0</v>
      </c>
      <c r="I20" s="104">
        <f>'Revenue Model'!I$34*'Model Inputs'!$B$20</f>
        <v>0</v>
      </c>
      <c r="J20" s="104">
        <f>'Revenue Model'!J$34*'Model Inputs'!$B$20</f>
        <v>0</v>
      </c>
      <c r="K20" s="104">
        <f>'Revenue Model'!K$34*'Model Inputs'!$B$20</f>
        <v>0</v>
      </c>
      <c r="L20" s="104">
        <f>'Revenue Model'!L$34*'Model Inputs'!$B$20</f>
        <v>0</v>
      </c>
      <c r="M20" s="104">
        <f>'Revenue Model'!M$34*'Model Inputs'!$B$20</f>
        <v>0</v>
      </c>
      <c r="N20" s="104">
        <f>'Revenue Model'!N$34*'Model Inputs'!$C$20</f>
        <v>0</v>
      </c>
      <c r="O20" s="104">
        <f>'Revenue Model'!O$34*'Model Inputs'!$C$20</f>
        <v>0</v>
      </c>
      <c r="P20" s="104">
        <f>'Revenue Model'!P$34*'Model Inputs'!$C$20</f>
        <v>0</v>
      </c>
      <c r="Q20" s="104">
        <f>'Revenue Model'!Q$34*'Model Inputs'!$C$20</f>
        <v>0</v>
      </c>
      <c r="R20" s="104">
        <f>'Revenue Model'!R$34*'Model Inputs'!$C$20</f>
        <v>0</v>
      </c>
      <c r="S20" s="104">
        <f>'Revenue Model'!S$34*'Model Inputs'!$C$20</f>
        <v>0</v>
      </c>
      <c r="T20" s="104">
        <f>'Revenue Model'!T$34*'Model Inputs'!$C$20</f>
        <v>0</v>
      </c>
      <c r="U20" s="104">
        <f>'Revenue Model'!U$34*'Model Inputs'!$C$20</f>
        <v>0</v>
      </c>
      <c r="V20" s="104">
        <f>'Revenue Model'!V$34*'Model Inputs'!$C$20</f>
        <v>0</v>
      </c>
      <c r="W20" s="104">
        <f>'Revenue Model'!W$34*'Model Inputs'!$C$20</f>
        <v>0</v>
      </c>
      <c r="X20" s="104">
        <f>'Revenue Model'!X$34*'Model Inputs'!$C$20</f>
        <v>0</v>
      </c>
      <c r="Y20" s="104">
        <f>'Revenue Model'!Y$34*'Model Inputs'!$C$20</f>
        <v>0</v>
      </c>
      <c r="Z20" s="104">
        <f>'Revenue Model'!Z$34*'Model Inputs'!$D$20</f>
        <v>0</v>
      </c>
      <c r="AA20" s="104">
        <f>'Revenue Model'!AA$34*'Model Inputs'!$D$20</f>
        <v>0</v>
      </c>
      <c r="AB20" s="104">
        <f>'Revenue Model'!AB$34*'Model Inputs'!$D$20</f>
        <v>0</v>
      </c>
      <c r="AC20" s="104">
        <f>'Revenue Model'!AC$34*'Model Inputs'!$D$20</f>
        <v>0</v>
      </c>
      <c r="AD20" s="104">
        <f>'Revenue Model'!AD$34*'Model Inputs'!$D$20</f>
        <v>0</v>
      </c>
      <c r="AE20" s="104">
        <f>'Revenue Model'!AE$34*'Model Inputs'!$D$20</f>
        <v>0</v>
      </c>
      <c r="AF20" s="104">
        <f>'Revenue Model'!AF$34*'Model Inputs'!$D$20</f>
        <v>0</v>
      </c>
      <c r="AG20" s="104">
        <f>'Revenue Model'!AG$34*'Model Inputs'!$D$20</f>
        <v>0</v>
      </c>
      <c r="AH20" s="104">
        <f>'Revenue Model'!AH$34*'Model Inputs'!$D$20</f>
        <v>0</v>
      </c>
      <c r="AI20" s="104">
        <f>'Revenue Model'!AI$34*'Model Inputs'!$D$20</f>
        <v>0</v>
      </c>
      <c r="AJ20" s="104">
        <f>'Revenue Model'!AJ$34*'Model Inputs'!$D$20</f>
        <v>0</v>
      </c>
      <c r="AK20" s="104">
        <f>'Revenue Model'!AK$34*'Model Inputs'!$D$20</f>
        <v>0</v>
      </c>
      <c r="AL20" s="107">
        <f>'Revenue Model'!AL$34*'Model Inputs'!$D$20</f>
        <v>0</v>
      </c>
      <c r="AM20" s="104">
        <f>'Revenue Model'!AM$33*27</f>
        <v>0</v>
      </c>
      <c r="AN20" s="104">
        <f>'Revenue Model'!AN$33*27</f>
        <v>0</v>
      </c>
    </row>
    <row r="21" spans="1:40" ht="14.25" customHeight="1" x14ac:dyDescent="0.45">
      <c r="A21" s="39" t="s">
        <v>446</v>
      </c>
      <c r="B21" s="110">
        <f>IF(1&gt;='Model Inputs'!$B$24,'Model Inputs'!B205+'Model Inputs'!B220,0)</f>
        <v>0</v>
      </c>
      <c r="C21" s="110">
        <f>IF(2&gt;='Model Inputs'!$B$24,'Model Inputs'!C205+'Model Inputs'!C220,0)</f>
        <v>0</v>
      </c>
      <c r="D21" s="110">
        <f>IF(3&gt;='Model Inputs'!$B$24,'Model Inputs'!D205+'Model Inputs'!D220,0)</f>
        <v>0</v>
      </c>
      <c r="E21" s="110">
        <f>IF(4&gt;='Model Inputs'!$B$24,'Model Inputs'!E205+'Model Inputs'!E220,0)</f>
        <v>944.30769230769238</v>
      </c>
      <c r="F21" s="110">
        <f>IF(5&gt;='Model Inputs'!$B$24,'Model Inputs'!F205+'Model Inputs'!F220,0)</f>
        <v>1531.2</v>
      </c>
      <c r="G21" s="110">
        <f>IF(6&gt;='Model Inputs'!$B$24,'Model Inputs'!G205+'Model Inputs'!G220,0)</f>
        <v>4227.5727773144281</v>
      </c>
      <c r="H21" s="110">
        <f>IF(7&gt;='Model Inputs'!$B$24,'Model Inputs'!H205+'Model Inputs'!H220,0)</f>
        <v>6195.876923076924</v>
      </c>
      <c r="I21" s="110">
        <f>IF(8&gt;='Model Inputs'!$B$24,'Model Inputs'!I205+'Model Inputs'!I220,0)</f>
        <v>6195.876923076924</v>
      </c>
      <c r="J21" s="110">
        <f>IF(9&gt;='Model Inputs'!$B$24,'Model Inputs'!J205+'Model Inputs'!J220,0)</f>
        <v>7724.5930069930082</v>
      </c>
      <c r="K21" s="110">
        <f>IF(10&gt;='Model Inputs'!$B$24,'Model Inputs'!K205+'Model Inputs'!K220,0)</f>
        <v>6510.6461538461544</v>
      </c>
      <c r="L21" s="110">
        <f>IF(11&gt;='Model Inputs'!$B$24,'Model Inputs'!L205+'Model Inputs'!L220,0)</f>
        <v>6706.2769230769236</v>
      </c>
      <c r="M21" s="110">
        <f>IF(12&gt;='Model Inputs'!$B$24,'Model Inputs'!M205+'Model Inputs'!M220,0)</f>
        <v>9845.9848951048971</v>
      </c>
      <c r="N21" s="110">
        <f>IF(13&gt;='Model Inputs'!$B$24,'Model Inputs'!N205+'Model Inputs'!N220,0)</f>
        <v>10142.792307692307</v>
      </c>
      <c r="O21" s="110">
        <f>IF(14&gt;='Model Inputs'!$B$24,'Model Inputs'!O205+'Model Inputs'!O220,0)</f>
        <v>10142.792307692307</v>
      </c>
      <c r="P21" s="110">
        <f>IF(15&gt;='Model Inputs'!$B$24,'Model Inputs'!P205+'Model Inputs'!P220,0)</f>
        <v>14198.146415341032</v>
      </c>
      <c r="Q21" s="110">
        <f>IF(16&gt;='Model Inputs'!$B$24,'Model Inputs'!Q205+'Model Inputs'!Q220,0)</f>
        <v>9771.8637362637382</v>
      </c>
      <c r="R21" s="110">
        <f>IF(17&gt;='Model Inputs'!$B$24,'Model Inputs'!R205+'Model Inputs'!R220,0)</f>
        <v>10744.442307692309</v>
      </c>
      <c r="S21" s="110">
        <f>IF(18&gt;='Model Inputs'!$B$24,'Model Inputs'!S205+'Model Inputs'!S220,0)</f>
        <v>22155.078021978021</v>
      </c>
      <c r="T21" s="110">
        <f>IF(19&gt;='Model Inputs'!$B$24,'Model Inputs'!T205+'Model Inputs'!T220,0)</f>
        <v>17245.5</v>
      </c>
      <c r="U21" s="110">
        <f>IF(20&gt;='Model Inputs'!$B$24,'Model Inputs'!U205+'Model Inputs'!U220,0)</f>
        <v>17245.5</v>
      </c>
      <c r="V21" s="110">
        <f>IF(21&gt;='Model Inputs'!$B$24,'Model Inputs'!V205+'Model Inputs'!V220,0)</f>
        <v>26851.807624309396</v>
      </c>
      <c r="W21" s="110">
        <f>IF(22&gt;='Model Inputs'!$B$24,'Model Inputs'!W205+'Model Inputs'!W220,0)</f>
        <v>15116.493506493507</v>
      </c>
      <c r="X21" s="110">
        <f>IF(23&gt;='Model Inputs'!$B$24,'Model Inputs'!X205+'Model Inputs'!X220,0)</f>
        <v>21877.424999999999</v>
      </c>
      <c r="Y21" s="110">
        <f>IF(24&gt;='Model Inputs'!$B$24,'Model Inputs'!Y205+'Model Inputs'!Y220,0)</f>
        <v>40132.292803970224</v>
      </c>
      <c r="Z21" s="110">
        <f>IF(25&gt;='Model Inputs'!$B$24,'Model Inputs'!Z205+'Model Inputs'!Z220,0)</f>
        <v>32264.1</v>
      </c>
      <c r="AA21" s="110">
        <f>IF(26&gt;='Model Inputs'!$B$24,'Model Inputs'!AA205+'Model Inputs'!AA220,0)</f>
        <v>32264.1</v>
      </c>
      <c r="AB21" s="110">
        <f>IF(27&gt;='Model Inputs'!$B$24,'Model Inputs'!AB205+'Model Inputs'!AB220,0)</f>
        <v>54250.004483985766</v>
      </c>
      <c r="AC21" s="110">
        <f>IF(28&gt;='Model Inputs'!$B$24,'Model Inputs'!AC205+'Model Inputs'!AC220,0)</f>
        <v>31595.645454545454</v>
      </c>
      <c r="AD21" s="110">
        <f>IF(29&gt;='Model Inputs'!$B$24,'Model Inputs'!AD205+'Model Inputs'!AD220,0)</f>
        <v>33741.224999999999</v>
      </c>
      <c r="AE21" s="110">
        <f>IF(30&gt;='Model Inputs'!$B$24,'Model Inputs'!AE205+'Model Inputs'!AE220,0)</f>
        <v>62582.449462650809</v>
      </c>
      <c r="AF21" s="110">
        <f>IF(31&gt;='Model Inputs'!$B$24,'Model Inputs'!AF205+'Model Inputs'!AF220,0)</f>
        <v>36550.799999999996</v>
      </c>
      <c r="AG21" s="110">
        <f>IF(32&gt;='Model Inputs'!$B$24,'Model Inputs'!AG205+'Model Inputs'!AG220,0)</f>
        <v>36550.799999999996</v>
      </c>
      <c r="AH21" s="110">
        <f>IF(33&gt;='Model Inputs'!$B$24,'Model Inputs'!AH205+'Model Inputs'!AH220,0)</f>
        <v>71637.208608414236</v>
      </c>
      <c r="AI21" s="110">
        <f>IF(34&gt;='Model Inputs'!$B$24,'Model Inputs'!AI205+'Model Inputs'!AI220,0)</f>
        <v>36550.799999999996</v>
      </c>
      <c r="AJ21" s="110">
        <f>IF(35&gt;='Model Inputs'!$B$24,'Model Inputs'!AJ205+'Model Inputs'!AJ220,0)</f>
        <v>36550.799999999996</v>
      </c>
      <c r="AK21" s="110">
        <f>IF(36&gt;='Model Inputs'!$B$24,'Model Inputs'!AK205+'Model Inputs'!AK220,0)</f>
        <v>79540.186240837706</v>
      </c>
      <c r="AL21" s="112">
        <f>IF(37&gt;='Model Inputs'!$B$24,'Model Inputs'!AL205+'Model Inputs'!AL220,0)</f>
        <v>9137.6999999999989</v>
      </c>
      <c r="AM21" s="62">
        <f>IF(38&gt;='Model Inputs'!$B$24,'Model Inputs'!AM205+'Model Inputs'!AM220,0)</f>
        <v>9137.6999999999989</v>
      </c>
      <c r="AN21" s="62">
        <f>IF(39&gt;='Model Inputs'!$B$24,'Model Inputs'!AN205+'Model Inputs'!AN220,0)</f>
        <v>9137.6999999999989</v>
      </c>
    </row>
    <row r="22" spans="1:40" ht="14.25" customHeight="1" x14ac:dyDescent="0.45">
      <c r="A22" s="28" t="s">
        <v>447</v>
      </c>
      <c r="B22" s="29">
        <f t="shared" ref="B22:AN22" si="1">B$17+B$18+B$19+B$20+B$21</f>
        <v>5000</v>
      </c>
      <c r="C22" s="29">
        <f t="shared" si="1"/>
        <v>5000</v>
      </c>
      <c r="D22" s="29">
        <f t="shared" si="1"/>
        <v>5000</v>
      </c>
      <c r="E22" s="29">
        <f t="shared" si="1"/>
        <v>11944.307692307691</v>
      </c>
      <c r="F22" s="29">
        <f t="shared" si="1"/>
        <v>12531.2</v>
      </c>
      <c r="G22" s="29">
        <f t="shared" si="1"/>
        <v>15227.572777314428</v>
      </c>
      <c r="H22" s="29">
        <f t="shared" si="1"/>
        <v>17195.876923076925</v>
      </c>
      <c r="I22" s="29">
        <f t="shared" si="1"/>
        <v>17195.876923076925</v>
      </c>
      <c r="J22" s="29">
        <f t="shared" si="1"/>
        <v>18724.593006993007</v>
      </c>
      <c r="K22" s="29">
        <f t="shared" si="1"/>
        <v>17510.646153846155</v>
      </c>
      <c r="L22" s="29">
        <f t="shared" si="1"/>
        <v>17706.276923076923</v>
      </c>
      <c r="M22" s="29">
        <f t="shared" si="1"/>
        <v>20845.984895104899</v>
      </c>
      <c r="N22" s="29">
        <f t="shared" si="1"/>
        <v>22142.792307692307</v>
      </c>
      <c r="O22" s="29">
        <f t="shared" si="1"/>
        <v>22142.792307692307</v>
      </c>
      <c r="P22" s="29">
        <f t="shared" si="1"/>
        <v>26198.146415341034</v>
      </c>
      <c r="Q22" s="29">
        <f t="shared" si="1"/>
        <v>29186.323736263737</v>
      </c>
      <c r="R22" s="29">
        <f t="shared" si="1"/>
        <v>30198.052307692309</v>
      </c>
      <c r="S22" s="29">
        <f t="shared" si="1"/>
        <v>41718.578021978021</v>
      </c>
      <c r="T22" s="29">
        <f t="shared" si="1"/>
        <v>36848.15</v>
      </c>
      <c r="U22" s="29">
        <f t="shared" si="1"/>
        <v>36848.15</v>
      </c>
      <c r="V22" s="29">
        <f t="shared" si="1"/>
        <v>46454.457624309398</v>
      </c>
      <c r="W22" s="29">
        <f t="shared" si="1"/>
        <v>39758.293506493508</v>
      </c>
      <c r="X22" s="29">
        <f t="shared" si="1"/>
        <v>46663.675000000003</v>
      </c>
      <c r="Y22" s="29">
        <f t="shared" si="1"/>
        <v>65031.402803970224</v>
      </c>
      <c r="Z22" s="29">
        <f t="shared" si="1"/>
        <v>58235.623999999996</v>
      </c>
      <c r="AA22" s="29">
        <f t="shared" si="1"/>
        <v>58235.623999999996</v>
      </c>
      <c r="AB22" s="29">
        <f t="shared" si="1"/>
        <v>82096.528483985763</v>
      </c>
      <c r="AC22" s="29">
        <f t="shared" si="1"/>
        <v>59442.169454545452</v>
      </c>
      <c r="AD22" s="29">
        <f t="shared" si="1"/>
        <v>61587.748999999996</v>
      </c>
      <c r="AE22" s="29">
        <f t="shared" si="1"/>
        <v>90428.973462650814</v>
      </c>
      <c r="AF22" s="29">
        <f t="shared" si="1"/>
        <v>64397.323999999993</v>
      </c>
      <c r="AG22" s="29">
        <f t="shared" si="1"/>
        <v>64397.323999999993</v>
      </c>
      <c r="AH22" s="29">
        <f t="shared" si="1"/>
        <v>99483.732608414226</v>
      </c>
      <c r="AI22" s="29">
        <f t="shared" si="1"/>
        <v>64397.323999999993</v>
      </c>
      <c r="AJ22" s="29">
        <f t="shared" si="1"/>
        <v>64397.323999999993</v>
      </c>
      <c r="AK22" s="29">
        <f t="shared" si="1"/>
        <v>107386.71024083771</v>
      </c>
      <c r="AL22" s="29">
        <f t="shared" si="1"/>
        <v>20887.699999999997</v>
      </c>
      <c r="AM22" s="35">
        <f t="shared" si="1"/>
        <v>20887.699999999997</v>
      </c>
      <c r="AN22" s="35">
        <f t="shared" si="1"/>
        <v>20887.699999999997</v>
      </c>
    </row>
    <row r="23" spans="1:40" ht="14.25" customHeight="1" x14ac:dyDescent="0.45">
      <c r="A23" s="20" t="s">
        <v>448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2"/>
      <c r="AL23" s="113"/>
      <c r="AM23" s="42"/>
      <c r="AN23" s="42"/>
    </row>
    <row r="24" spans="1:40" ht="14.25" customHeight="1" x14ac:dyDescent="0.45">
      <c r="A24" s="23" t="s">
        <v>449</v>
      </c>
      <c r="B24" s="107">
        <f>'Staffing Plan'!F$32</f>
        <v>22875</v>
      </c>
      <c r="C24" s="107">
        <f>'Staffing Plan'!G$32</f>
        <v>22875</v>
      </c>
      <c r="D24" s="107">
        <f>'Staffing Plan'!H$32</f>
        <v>22875</v>
      </c>
      <c r="E24" s="107">
        <f>'Staffing Plan'!I$32</f>
        <v>38708.333333333328</v>
      </c>
      <c r="F24" s="107">
        <f>'Staffing Plan'!J$32</f>
        <v>38708.333333333328</v>
      </c>
      <c r="G24" s="107">
        <f>'Staffing Plan'!K$32</f>
        <v>38708.333333333328</v>
      </c>
      <c r="H24" s="107">
        <f>'Staffing Plan'!L$32</f>
        <v>38708.333333333328</v>
      </c>
      <c r="I24" s="107">
        <f>'Staffing Plan'!M$32</f>
        <v>45708.333333333328</v>
      </c>
      <c r="J24" s="107">
        <f>'Staffing Plan'!N$32</f>
        <v>45708.333333333328</v>
      </c>
      <c r="K24" s="107">
        <f>'Staffing Plan'!O$32</f>
        <v>52479.166666666664</v>
      </c>
      <c r="L24" s="107">
        <f>'Staffing Plan'!P$32</f>
        <v>52479.166666666664</v>
      </c>
      <c r="M24" s="107">
        <f>'Staffing Plan'!Q$32</f>
        <v>52479.166666666664</v>
      </c>
      <c r="N24" s="107">
        <f>'Staffing Plan'!R$32</f>
        <v>52479.166666666664</v>
      </c>
      <c r="O24" s="107">
        <f>'Staffing Plan'!S$32</f>
        <v>59304.166666666664</v>
      </c>
      <c r="P24" s="107">
        <f>'Staffing Plan'!T$32</f>
        <v>59304.166666666664</v>
      </c>
      <c r="Q24" s="107">
        <f>'Staffing Plan'!U$32</f>
        <v>71283.333333333343</v>
      </c>
      <c r="R24" s="107">
        <f>'Staffing Plan'!V$32</f>
        <v>71283.333333333343</v>
      </c>
      <c r="S24" s="107">
        <f>'Staffing Plan'!W$32</f>
        <v>79595.833333333343</v>
      </c>
      <c r="T24" s="107">
        <f>'Staffing Plan'!X$32</f>
        <v>79595.833333333343</v>
      </c>
      <c r="U24" s="107">
        <f>'Staffing Plan'!Y$32</f>
        <v>91575.000000000015</v>
      </c>
      <c r="V24" s="107">
        <f>'Staffing Plan'!Z$32</f>
        <v>91575.000000000015</v>
      </c>
      <c r="W24" s="107">
        <f>'Staffing Plan'!AA$32</f>
        <v>91575.000000000015</v>
      </c>
      <c r="X24" s="107">
        <f>'Staffing Plan'!AB$32</f>
        <v>98400.000000000015</v>
      </c>
      <c r="Y24" s="107">
        <f>'Staffing Plan'!AC$32</f>
        <v>98400.000000000015</v>
      </c>
      <c r="Z24" s="107">
        <f>'Staffing Plan'!AD$32</f>
        <v>121679.16666666669</v>
      </c>
      <c r="AA24" s="107">
        <f>'Staffing Plan'!AE$32</f>
        <v>130254.16666666669</v>
      </c>
      <c r="AB24" s="107">
        <f>'Staffing Plan'!AF$32</f>
        <v>143170.83333333334</v>
      </c>
      <c r="AC24" s="107">
        <f>'Staffing Plan'!AG$32</f>
        <v>143170.83333333334</v>
      </c>
      <c r="AD24" s="107">
        <f>'Staffing Plan'!AH$32</f>
        <v>143170.83333333334</v>
      </c>
      <c r="AE24" s="107">
        <f>'Staffing Plan'!AI$32</f>
        <v>159837.5</v>
      </c>
      <c r="AF24" s="107">
        <f>'Staffing Plan'!AJ$32</f>
        <v>159837.5</v>
      </c>
      <c r="AG24" s="107">
        <f>'Staffing Plan'!AK$32</f>
        <v>167712.5</v>
      </c>
      <c r="AH24" s="107">
        <f>'Staffing Plan'!AL$32</f>
        <v>167712.5</v>
      </c>
      <c r="AI24" s="107">
        <f>'Staffing Plan'!AM$32</f>
        <v>180212.5</v>
      </c>
      <c r="AJ24" s="107">
        <f>'Staffing Plan'!AN$32</f>
        <v>180212.5</v>
      </c>
      <c r="AK24" s="107">
        <f>'Staffing Plan'!AO$32</f>
        <v>188545.83333333334</v>
      </c>
      <c r="AL24" s="107"/>
      <c r="AM24" s="104"/>
      <c r="AN24" s="104"/>
    </row>
    <row r="25" spans="1:40" ht="14.25" customHeight="1" x14ac:dyDescent="0.45">
      <c r="A25" s="25" t="s">
        <v>450</v>
      </c>
      <c r="B25" s="27">
        <v>30000</v>
      </c>
      <c r="C25" s="27">
        <v>30000</v>
      </c>
      <c r="D25" s="27">
        <v>30000</v>
      </c>
      <c r="E25" s="27">
        <v>30000</v>
      </c>
      <c r="F25" s="27">
        <v>30000</v>
      </c>
      <c r="G25" s="27">
        <v>30000</v>
      </c>
      <c r="H25" s="27">
        <v>30000</v>
      </c>
      <c r="I25" s="27">
        <v>30000</v>
      </c>
      <c r="J25" s="27">
        <v>30000</v>
      </c>
      <c r="K25" s="27">
        <v>30000</v>
      </c>
      <c r="L25" s="27">
        <v>30000</v>
      </c>
      <c r="M25" s="27">
        <v>30000</v>
      </c>
      <c r="N25" s="27">
        <v>50000</v>
      </c>
      <c r="O25" s="27">
        <v>50000</v>
      </c>
      <c r="P25" s="27">
        <v>50000</v>
      </c>
      <c r="Q25" s="27">
        <v>50000</v>
      </c>
      <c r="R25" s="27">
        <v>50000</v>
      </c>
      <c r="S25" s="27">
        <v>50000</v>
      </c>
      <c r="T25" s="27">
        <v>50000</v>
      </c>
      <c r="U25" s="27">
        <v>50000</v>
      </c>
      <c r="V25" s="27">
        <v>50000</v>
      </c>
      <c r="W25" s="27">
        <v>50000</v>
      </c>
      <c r="X25" s="27">
        <v>50000</v>
      </c>
      <c r="Y25" s="27">
        <v>50000</v>
      </c>
      <c r="Z25" s="27">
        <v>75000</v>
      </c>
      <c r="AA25" s="27">
        <v>75000</v>
      </c>
      <c r="AB25" s="27">
        <v>75000</v>
      </c>
      <c r="AC25" s="27">
        <v>75000</v>
      </c>
      <c r="AD25" s="27">
        <v>75000</v>
      </c>
      <c r="AE25" s="27">
        <v>75000</v>
      </c>
      <c r="AF25" s="27">
        <v>75000</v>
      </c>
      <c r="AG25" s="27">
        <v>75000</v>
      </c>
      <c r="AH25" s="27">
        <v>75000</v>
      </c>
      <c r="AI25" s="27">
        <v>75000</v>
      </c>
      <c r="AJ25" s="27">
        <v>75000</v>
      </c>
      <c r="AK25" s="27">
        <v>75000</v>
      </c>
      <c r="AL25" s="106"/>
      <c r="AM25" s="62"/>
      <c r="AN25" s="62"/>
    </row>
    <row r="26" spans="1:40" ht="14.25" customHeight="1" x14ac:dyDescent="0.45">
      <c r="A26" s="28" t="s">
        <v>451</v>
      </c>
      <c r="B26" s="29">
        <f t="shared" ref="B26:AK26" si="2">B$15+B$22+B$24+B$25</f>
        <v>68375</v>
      </c>
      <c r="C26" s="29">
        <f t="shared" si="2"/>
        <v>62375</v>
      </c>
      <c r="D26" s="29">
        <f t="shared" si="2"/>
        <v>62375</v>
      </c>
      <c r="E26" s="29">
        <f t="shared" si="2"/>
        <v>91202.641025641016</v>
      </c>
      <c r="F26" s="29">
        <f t="shared" si="2"/>
        <v>89789.533333333326</v>
      </c>
      <c r="G26" s="29">
        <f t="shared" si="2"/>
        <v>94485.90611064776</v>
      </c>
      <c r="H26" s="29">
        <f t="shared" si="2"/>
        <v>94454.210256410253</v>
      </c>
      <c r="I26" s="29">
        <f t="shared" si="2"/>
        <v>103454.21025641025</v>
      </c>
      <c r="J26" s="29">
        <f t="shared" si="2"/>
        <v>102982.92634032633</v>
      </c>
      <c r="K26" s="29">
        <f t="shared" si="2"/>
        <v>115672.81282051283</v>
      </c>
      <c r="L26" s="29">
        <f t="shared" si="2"/>
        <v>113868.44358974359</v>
      </c>
      <c r="M26" s="29">
        <f t="shared" si="2"/>
        <v>117008.15156177156</v>
      </c>
      <c r="N26" s="29">
        <f t="shared" si="2"/>
        <v>141979.95897435897</v>
      </c>
      <c r="O26" s="29">
        <f t="shared" si="2"/>
        <v>148804.95897435897</v>
      </c>
      <c r="P26" s="29">
        <f t="shared" si="2"/>
        <v>150860.31308200769</v>
      </c>
      <c r="Q26" s="29">
        <f t="shared" si="2"/>
        <v>168752.65706959707</v>
      </c>
      <c r="R26" s="29">
        <f t="shared" si="2"/>
        <v>167764.38564102567</v>
      </c>
      <c r="S26" s="29">
        <f t="shared" si="2"/>
        <v>199097.41135531137</v>
      </c>
      <c r="T26" s="29">
        <f t="shared" si="2"/>
        <v>190226.98333333334</v>
      </c>
      <c r="U26" s="29">
        <f t="shared" si="2"/>
        <v>196706.15000000002</v>
      </c>
      <c r="V26" s="29">
        <f t="shared" si="2"/>
        <v>204312.45762430941</v>
      </c>
      <c r="W26" s="29">
        <f t="shared" si="2"/>
        <v>197616.29350649353</v>
      </c>
      <c r="X26" s="29">
        <f t="shared" si="2"/>
        <v>213346.67500000002</v>
      </c>
      <c r="Y26" s="29">
        <f t="shared" si="2"/>
        <v>233714.40280397024</v>
      </c>
      <c r="Z26" s="29">
        <f t="shared" si="2"/>
        <v>279447.7906666667</v>
      </c>
      <c r="AA26" s="29">
        <f t="shared" si="2"/>
        <v>286022.7906666667</v>
      </c>
      <c r="AB26" s="29">
        <f t="shared" si="2"/>
        <v>326450.36181731912</v>
      </c>
      <c r="AC26" s="29">
        <f t="shared" si="2"/>
        <v>299796.0027878788</v>
      </c>
      <c r="AD26" s="29">
        <f t="shared" si="2"/>
        <v>301941.58233333332</v>
      </c>
      <c r="AE26" s="29">
        <f t="shared" si="2"/>
        <v>355449.47346265079</v>
      </c>
      <c r="AF26" s="29">
        <f t="shared" si="2"/>
        <v>327417.82400000002</v>
      </c>
      <c r="AG26" s="29">
        <f t="shared" si="2"/>
        <v>331292.82400000002</v>
      </c>
      <c r="AH26" s="29">
        <f t="shared" si="2"/>
        <v>364379.23260841426</v>
      </c>
      <c r="AI26" s="29">
        <f t="shared" si="2"/>
        <v>343792.82400000002</v>
      </c>
      <c r="AJ26" s="29">
        <f t="shared" si="2"/>
        <v>341792.82400000002</v>
      </c>
      <c r="AK26" s="29">
        <f t="shared" si="2"/>
        <v>395115.54357417102</v>
      </c>
      <c r="AL26" s="29">
        <f>AL$15+AL$21+AL$23+AL$24</f>
        <v>9137.6999999999989</v>
      </c>
      <c r="AM26" s="35">
        <f>AM$15+AM$21+AM$23+AM$24</f>
        <v>9137.6999999999989</v>
      </c>
      <c r="AN26" s="35">
        <f>AN$15+AN$21+AN$23+AN$24</f>
        <v>9137.6999999999989</v>
      </c>
    </row>
  </sheetData>
  <mergeCells count="3">
    <mergeCell ref="A1:AL1"/>
    <mergeCell ref="A4:AK4"/>
    <mergeCell ref="A16:AK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2"/>
  <sheetViews>
    <sheetView zoomScaleNormal="100" workbookViewId="0">
      <selection sqref="A1:AL1"/>
    </sheetView>
  </sheetViews>
  <sheetFormatPr defaultColWidth="8.6640625" defaultRowHeight="14.25" x14ac:dyDescent="0.45"/>
  <cols>
    <col min="1" max="1" width="25" customWidth="1"/>
    <col min="2" max="38" width="12" customWidth="1"/>
  </cols>
  <sheetData>
    <row r="1" spans="1:44" ht="24.75" customHeight="1" x14ac:dyDescent="0.5">
      <c r="A1" s="160" t="s">
        <v>452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9"/>
      <c r="AM1" s="59"/>
      <c r="AN1" s="59"/>
    </row>
    <row r="2" spans="1:44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</row>
    <row r="3" spans="1:44" ht="14.25" customHeight="1" x14ac:dyDescent="0.45">
      <c r="A3" s="19" t="s">
        <v>453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14"/>
      <c r="AM3" s="18"/>
      <c r="AN3" s="18"/>
    </row>
    <row r="4" spans="1:44" ht="14.25" customHeight="1" x14ac:dyDescent="0.45">
      <c r="A4" s="157" t="s">
        <v>41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9"/>
      <c r="AL4" s="33"/>
      <c r="AM4" s="42"/>
      <c r="AN4" s="42"/>
    </row>
    <row r="5" spans="1:44" ht="14.25" customHeight="1" x14ac:dyDescent="0.45">
      <c r="A5" s="28" t="s">
        <v>454</v>
      </c>
      <c r="B5" s="29">
        <f>'Revenue Model'!B$31</f>
        <v>0</v>
      </c>
      <c r="C5" s="29">
        <f>'Revenue Model'!C$31</f>
        <v>0</v>
      </c>
      <c r="D5" s="29">
        <f>'Revenue Model'!D$31</f>
        <v>0</v>
      </c>
      <c r="E5" s="29">
        <f>'Revenue Model'!E$31</f>
        <v>7150</v>
      </c>
      <c r="F5" s="29">
        <f>'Revenue Model'!F$31</f>
        <v>10709.503448275862</v>
      </c>
      <c r="G5" s="29">
        <f>'Revenue Model'!G$31</f>
        <v>17899.83486238532</v>
      </c>
      <c r="H5" s="29">
        <f>'Revenue Model'!H$31</f>
        <v>25452.586466165412</v>
      </c>
      <c r="I5" s="29">
        <f>'Revenue Model'!I$31</f>
        <v>33182.413533834588</v>
      </c>
      <c r="J5" s="29">
        <f>'Revenue Model'!J$31</f>
        <v>41402.727272727272</v>
      </c>
      <c r="K5" s="29">
        <f>'Revenue Model'!K$31</f>
        <v>49624.545454545456</v>
      </c>
      <c r="L5" s="29">
        <f>'Revenue Model'!L$31</f>
        <v>57817</v>
      </c>
      <c r="M5" s="29">
        <f>'Revenue Model'!M$31</f>
        <v>65980.090909090912</v>
      </c>
      <c r="N5" s="29">
        <f>'Revenue Model'!N$31</f>
        <v>79170.487804878052</v>
      </c>
      <c r="O5" s="29">
        <f>'Revenue Model'!O$31</f>
        <v>89371.402266288947</v>
      </c>
      <c r="P5" s="29">
        <f>'Revenue Model'!P$31</f>
        <v>101383.85269121813</v>
      </c>
      <c r="Q5" s="29">
        <f>'Revenue Model'!Q$31</f>
        <v>113508.5421994885</v>
      </c>
      <c r="R5" s="29">
        <f>'Revenue Model'!R$31</f>
        <v>126507.99522673032</v>
      </c>
      <c r="S5" s="29">
        <f>'Revenue Model'!S$31</f>
        <v>143620.4081632653</v>
      </c>
      <c r="T5" s="29">
        <f>'Revenue Model'!T$31</f>
        <v>161419.53038674034</v>
      </c>
      <c r="U5" s="29">
        <f>'Revenue Model'!U$31</f>
        <v>180055.24861878454</v>
      </c>
      <c r="V5" s="29">
        <f>'Revenue Model'!V$31</f>
        <v>200131.408839779</v>
      </c>
      <c r="W5" s="29">
        <f>'Revenue Model'!W$31</f>
        <v>220214.21052631579</v>
      </c>
      <c r="X5" s="29">
        <f>'Revenue Model'!X$31</f>
        <v>247598.48082595872</v>
      </c>
      <c r="Y5" s="29">
        <f>'Revenue Model'!Y$31</f>
        <v>275874.32795698923</v>
      </c>
      <c r="Z5" s="29">
        <f>'Revenue Model'!Z$31</f>
        <v>309107.61803084222</v>
      </c>
      <c r="AA5" s="29">
        <f>'Revenue Model'!AA$31</f>
        <v>337831.58481613285</v>
      </c>
      <c r="AB5" s="29">
        <f>'Revenue Model'!AB$31</f>
        <v>366431.74139976274</v>
      </c>
      <c r="AC5" s="29">
        <f>'Revenue Model'!AC$31</f>
        <v>399887.94489092997</v>
      </c>
      <c r="AD5" s="29">
        <f>'Revenue Model'!AD$31</f>
        <v>432909.12169919629</v>
      </c>
      <c r="AE5" s="29">
        <f>'Revenue Model'!AE$31</f>
        <v>465801.01668520574</v>
      </c>
      <c r="AF5" s="29">
        <f>'Revenue Model'!AF$31</f>
        <v>507450.89210233593</v>
      </c>
      <c r="AG5" s="29">
        <f>'Revenue Model'!AG$31</f>
        <v>546267.02447163512</v>
      </c>
      <c r="AH5" s="29">
        <f>'Revenue Model'!AH$31</f>
        <v>584773.47680690396</v>
      </c>
      <c r="AI5" s="29">
        <f>'Revenue Model'!AI$31</f>
        <v>630198.94390507007</v>
      </c>
      <c r="AJ5" s="29">
        <f>'Revenue Model'!AJ$31</f>
        <v>672923.76230366493</v>
      </c>
      <c r="AK5" s="29">
        <f>'Revenue Model'!AK$31</f>
        <v>716489.77068062825</v>
      </c>
      <c r="AL5" s="29">
        <f>'Revenue Model'!AL$31</f>
        <v>675903</v>
      </c>
      <c r="AM5" s="35"/>
      <c r="AN5" s="35"/>
    </row>
    <row r="6" spans="1:44" ht="14.25" customHeight="1" x14ac:dyDescent="0.45">
      <c r="A6" s="164" t="s">
        <v>455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3"/>
      <c r="AL6" s="109"/>
      <c r="AM6" s="104"/>
      <c r="AN6" s="104"/>
    </row>
    <row r="7" spans="1:44" ht="14.25" customHeight="1" x14ac:dyDescent="0.45">
      <c r="A7" s="28" t="s">
        <v>45</v>
      </c>
      <c r="B7" s="29">
        <f>'COGS Analysis'!B$20</f>
        <v>0</v>
      </c>
      <c r="C7" s="29">
        <f>'COGS Analysis'!C$20</f>
        <v>0</v>
      </c>
      <c r="D7" s="29">
        <f>'COGS Analysis'!D$20</f>
        <v>0</v>
      </c>
      <c r="E7" s="29">
        <f>'COGS Analysis'!E$20</f>
        <v>3193.93</v>
      </c>
      <c r="F7" s="29">
        <f>'COGS Analysis'!F$20</f>
        <v>3943.7156</v>
      </c>
      <c r="G7" s="29">
        <f>'COGS Analysis'!G$20</f>
        <v>5122.0752110091744</v>
      </c>
      <c r="H7" s="29">
        <f>'COGS Analysis'!H$20</f>
        <v>6526.4650075187974</v>
      </c>
      <c r="I7" s="29">
        <f>'COGS Analysis'!I$20</f>
        <v>7931.4999924812018</v>
      </c>
      <c r="J7" s="29">
        <f>'COGS Analysis'!J$20</f>
        <v>9431.5790909090902</v>
      </c>
      <c r="K7" s="29">
        <f>'COGS Analysis'!K$20</f>
        <v>10927.211818181819</v>
      </c>
      <c r="L7" s="29">
        <f>'COGS Analysis'!L$20</f>
        <v>12417.502999999999</v>
      </c>
      <c r="M7" s="29">
        <f>'COGS Analysis'!M$20</f>
        <v>13902.452636363636</v>
      </c>
      <c r="N7" s="29">
        <f>'COGS Analysis'!N$20</f>
        <v>15321.812146341465</v>
      </c>
      <c r="O7" s="29">
        <f>'COGS Analysis'!O$20</f>
        <v>16817.452665722383</v>
      </c>
      <c r="P7" s="29">
        <f>'COGS Analysis'!P$20</f>
        <v>18533.531728045324</v>
      </c>
      <c r="Q7" s="29">
        <f>'COGS Analysis'!Q$20</f>
        <v>20631.291723785169</v>
      </c>
      <c r="R7" s="29">
        <f>'COGS Analysis'!R$20</f>
        <v>22596.367861575181</v>
      </c>
      <c r="S7" s="29">
        <f>'COGS Analysis'!S$20</f>
        <v>25096.981836734696</v>
      </c>
      <c r="T7" s="29">
        <f>'COGS Analysis'!T$20</f>
        <v>27795.908381215471</v>
      </c>
      <c r="U7" s="29">
        <f>'COGS Analysis'!U$20</f>
        <v>30508.602209944751</v>
      </c>
      <c r="V7" s="29">
        <f>'COGS Analysis'!V$20</f>
        <v>33430.97285635359</v>
      </c>
      <c r="W7" s="29">
        <f>'COGS Analysis'!W$20</f>
        <v>36437.488105263161</v>
      </c>
      <c r="X7" s="29">
        <f>'COGS Analysis'!X$20</f>
        <v>40026.533943952803</v>
      </c>
      <c r="Y7" s="29">
        <f>'COGS Analysis'!Y$20</f>
        <v>43858.311510752683</v>
      </c>
      <c r="Z7" s="29">
        <f>'COGS Analysis'!Z$20</f>
        <v>42291.864922894427</v>
      </c>
      <c r="AA7" s="29">
        <f>'COGS Analysis'!AA$20</f>
        <v>45571.067959667853</v>
      </c>
      <c r="AB7" s="29">
        <f>'COGS Analysis'!AB$20</f>
        <v>48836.136500593122</v>
      </c>
      <c r="AC7" s="29">
        <f>'COGS Analysis'!AC$20</f>
        <v>52637.430401836958</v>
      </c>
      <c r="AD7" s="29">
        <f>'COGS Analysis'!AD$20</f>
        <v>56412.928529276702</v>
      </c>
      <c r="AE7" s="29">
        <f>'COGS Analysis'!AE$20</f>
        <v>60247.941483870964</v>
      </c>
      <c r="AF7" s="29">
        <f>'COGS Analysis'!AF$20</f>
        <v>64787.691870967756</v>
      </c>
      <c r="AG7" s="29">
        <f>'COGS Analysis'!AG$20</f>
        <v>69232.083709677419</v>
      </c>
      <c r="AH7" s="29">
        <f>'COGS Analysis'!AH$20</f>
        <v>73728.122827400221</v>
      </c>
      <c r="AI7" s="29">
        <f>'COGS Analysis'!AI$20</f>
        <v>78741.133373247038</v>
      </c>
      <c r="AJ7" s="29">
        <f>'COGS Analysis'!AJ$20</f>
        <v>83733.81710680628</v>
      </c>
      <c r="AK7" s="29">
        <f>'COGS Analysis'!AK$20</f>
        <v>88735.079349738226</v>
      </c>
      <c r="AL7" s="29">
        <f>'COGS Analysis'!AL$20</f>
        <v>0</v>
      </c>
      <c r="AM7" s="35"/>
      <c r="AN7" s="35"/>
    </row>
    <row r="8" spans="1:44" ht="14.25" customHeight="1" x14ac:dyDescent="0.45">
      <c r="A8" s="28" t="s">
        <v>311</v>
      </c>
      <c r="B8" s="29">
        <f t="shared" ref="B8:AK8" si="0">B$5-B$7</f>
        <v>0</v>
      </c>
      <c r="C8" s="29">
        <f t="shared" si="0"/>
        <v>0</v>
      </c>
      <c r="D8" s="29">
        <f t="shared" si="0"/>
        <v>0</v>
      </c>
      <c r="E8" s="29">
        <f t="shared" si="0"/>
        <v>3956.07</v>
      </c>
      <c r="F8" s="29">
        <f t="shared" si="0"/>
        <v>6765.7878482758624</v>
      </c>
      <c r="G8" s="29">
        <f t="shared" si="0"/>
        <v>12777.759651376145</v>
      </c>
      <c r="H8" s="29">
        <f t="shared" si="0"/>
        <v>18926.121458646616</v>
      </c>
      <c r="I8" s="29">
        <f t="shared" si="0"/>
        <v>25250.913541353388</v>
      </c>
      <c r="J8" s="29">
        <f t="shared" si="0"/>
        <v>31971.148181818182</v>
      </c>
      <c r="K8" s="29">
        <f t="shared" si="0"/>
        <v>38697.333636363634</v>
      </c>
      <c r="L8" s="29">
        <f t="shared" si="0"/>
        <v>45399.497000000003</v>
      </c>
      <c r="M8" s="29">
        <f t="shared" si="0"/>
        <v>52077.638272727272</v>
      </c>
      <c r="N8" s="29">
        <f t="shared" si="0"/>
        <v>63848.675658536587</v>
      </c>
      <c r="O8" s="29">
        <f t="shared" si="0"/>
        <v>72553.949600566557</v>
      </c>
      <c r="P8" s="29">
        <f t="shared" si="0"/>
        <v>82850.320963172795</v>
      </c>
      <c r="Q8" s="29">
        <f t="shared" si="0"/>
        <v>92877.250475703331</v>
      </c>
      <c r="R8" s="29">
        <f t="shared" si="0"/>
        <v>103911.62736515513</v>
      </c>
      <c r="S8" s="29">
        <f t="shared" si="0"/>
        <v>118523.42632653061</v>
      </c>
      <c r="T8" s="29">
        <f t="shared" si="0"/>
        <v>133623.62200552487</v>
      </c>
      <c r="U8" s="29">
        <f t="shared" si="0"/>
        <v>149546.64640883979</v>
      </c>
      <c r="V8" s="29">
        <f t="shared" si="0"/>
        <v>166700.43598342541</v>
      </c>
      <c r="W8" s="29">
        <f t="shared" si="0"/>
        <v>183776.72242105263</v>
      </c>
      <c r="X8" s="29">
        <f t="shared" si="0"/>
        <v>207571.9468820059</v>
      </c>
      <c r="Y8" s="29">
        <f t="shared" si="0"/>
        <v>232016.01644623655</v>
      </c>
      <c r="Z8" s="29">
        <f t="shared" si="0"/>
        <v>266815.75310794776</v>
      </c>
      <c r="AA8" s="29">
        <f t="shared" si="0"/>
        <v>292260.51685646502</v>
      </c>
      <c r="AB8" s="29">
        <f t="shared" si="0"/>
        <v>317595.60489916964</v>
      </c>
      <c r="AC8" s="29">
        <f t="shared" si="0"/>
        <v>347250.51448909298</v>
      </c>
      <c r="AD8" s="29">
        <f t="shared" si="0"/>
        <v>376496.1931699196</v>
      </c>
      <c r="AE8" s="29">
        <f t="shared" si="0"/>
        <v>405553.07520133478</v>
      </c>
      <c r="AF8" s="29">
        <f t="shared" si="0"/>
        <v>442663.20023136819</v>
      </c>
      <c r="AG8" s="29">
        <f t="shared" si="0"/>
        <v>477034.94076195767</v>
      </c>
      <c r="AH8" s="29">
        <f t="shared" si="0"/>
        <v>511045.35397950374</v>
      </c>
      <c r="AI8" s="29">
        <f t="shared" si="0"/>
        <v>551457.81053182308</v>
      </c>
      <c r="AJ8" s="29">
        <f t="shared" si="0"/>
        <v>589189.94519685861</v>
      </c>
      <c r="AK8" s="29">
        <f t="shared" si="0"/>
        <v>627754.69133089005</v>
      </c>
      <c r="AL8" s="29"/>
      <c r="AM8" s="35"/>
      <c r="AN8" s="35"/>
    </row>
    <row r="9" spans="1:44" ht="14.25" customHeight="1" x14ac:dyDescent="0.45">
      <c r="A9" s="28" t="s">
        <v>46</v>
      </c>
      <c r="B9" s="30">
        <f t="shared" ref="B9:AK9" si="1">IF(B$5&gt;0,B$8/B$5,0)</f>
        <v>0</v>
      </c>
      <c r="C9" s="30">
        <f t="shared" si="1"/>
        <v>0</v>
      </c>
      <c r="D9" s="30">
        <f t="shared" si="1"/>
        <v>0</v>
      </c>
      <c r="E9" s="30">
        <f t="shared" si="1"/>
        <v>0.5532965034965035</v>
      </c>
      <c r="F9" s="30">
        <f t="shared" si="1"/>
        <v>0.63175551331141278</v>
      </c>
      <c r="G9" s="30">
        <f t="shared" si="1"/>
        <v>0.71384790695624267</v>
      </c>
      <c r="H9" s="30">
        <f t="shared" si="1"/>
        <v>0.74358342653330944</v>
      </c>
      <c r="I9" s="30">
        <f t="shared" si="1"/>
        <v>0.76097278203124641</v>
      </c>
      <c r="J9" s="30">
        <f t="shared" si="1"/>
        <v>0.77219908657752012</v>
      </c>
      <c r="K9" s="30">
        <f t="shared" si="1"/>
        <v>0.77980227893088094</v>
      </c>
      <c r="L9" s="30">
        <f t="shared" si="1"/>
        <v>0.785227476347787</v>
      </c>
      <c r="M9" s="30">
        <f t="shared" si="1"/>
        <v>0.78929321792661966</v>
      </c>
      <c r="N9" s="30">
        <f t="shared" si="1"/>
        <v>0.80647066133906753</v>
      </c>
      <c r="O9" s="30">
        <f t="shared" si="1"/>
        <v>0.81182512258660211</v>
      </c>
      <c r="P9" s="30">
        <f t="shared" si="1"/>
        <v>0.81719444234879912</v>
      </c>
      <c r="Q9" s="30">
        <f t="shared" si="1"/>
        <v>0.8182401841834408</v>
      </c>
      <c r="R9" s="30">
        <f t="shared" si="1"/>
        <v>0.82138387521612766</v>
      </c>
      <c r="S9" s="30">
        <f t="shared" si="1"/>
        <v>0.82525476596470293</v>
      </c>
      <c r="T9" s="30">
        <f t="shared" si="1"/>
        <v>0.82780331280471409</v>
      </c>
      <c r="U9" s="30">
        <f t="shared" si="1"/>
        <v>0.83055977293648364</v>
      </c>
      <c r="V9" s="30">
        <f t="shared" si="1"/>
        <v>0.83295489173756965</v>
      </c>
      <c r="W9" s="30">
        <f t="shared" si="1"/>
        <v>0.8345361635919093</v>
      </c>
      <c r="X9" s="30">
        <f t="shared" si="1"/>
        <v>0.83834095503967099</v>
      </c>
      <c r="Y9" s="30">
        <f t="shared" si="1"/>
        <v>0.84102068563048571</v>
      </c>
      <c r="Z9" s="30">
        <f t="shared" si="1"/>
        <v>0.8631807744101776</v>
      </c>
      <c r="AA9" s="30">
        <f t="shared" si="1"/>
        <v>0.8651071421149974</v>
      </c>
      <c r="AB9" s="30">
        <f t="shared" si="1"/>
        <v>0.86672514691538471</v>
      </c>
      <c r="AC9" s="30">
        <f t="shared" si="1"/>
        <v>0.86836954933414179</v>
      </c>
      <c r="AD9" s="30">
        <f t="shared" si="1"/>
        <v>0.86968875059076534</v>
      </c>
      <c r="AE9" s="30">
        <f t="shared" si="1"/>
        <v>0.87065734224322811</v>
      </c>
      <c r="AF9" s="30">
        <f t="shared" si="1"/>
        <v>0.87232716923098397</v>
      </c>
      <c r="AG9" s="30">
        <f t="shared" si="1"/>
        <v>0.87326329320968865</v>
      </c>
      <c r="AH9" s="30">
        <f t="shared" si="1"/>
        <v>0.8739202002970704</v>
      </c>
      <c r="AI9" s="30">
        <f t="shared" si="1"/>
        <v>0.87505353010380771</v>
      </c>
      <c r="AJ9" s="30">
        <f t="shared" si="1"/>
        <v>0.87556715664170526</v>
      </c>
      <c r="AK9" s="30">
        <f t="shared" si="1"/>
        <v>0.8761530408655458</v>
      </c>
      <c r="AL9" s="30"/>
      <c r="AM9" s="35"/>
      <c r="AN9" s="35"/>
    </row>
    <row r="10" spans="1:44" ht="14.25" customHeight="1" x14ac:dyDescent="0.45">
      <c r="A10" s="157" t="s">
        <v>456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9"/>
      <c r="AL10" s="113"/>
      <c r="AM10" s="42"/>
      <c r="AN10" s="42"/>
    </row>
    <row r="11" spans="1:44" ht="14.25" customHeight="1" x14ac:dyDescent="0.45">
      <c r="A11" s="25" t="s">
        <v>457</v>
      </c>
      <c r="B11" s="106">
        <f>'Operating Expenses'!B$15</f>
        <v>10500</v>
      </c>
      <c r="C11" s="106">
        <f>'Operating Expenses'!C$15</f>
        <v>4500</v>
      </c>
      <c r="D11" s="106">
        <f>'Operating Expenses'!D$15</f>
        <v>4500</v>
      </c>
      <c r="E11" s="106">
        <f>'Operating Expenses'!E$15</f>
        <v>10550</v>
      </c>
      <c r="F11" s="106">
        <f>'Operating Expenses'!F$15</f>
        <v>8550</v>
      </c>
      <c r="G11" s="106">
        <f>'Operating Expenses'!G$15</f>
        <v>10550</v>
      </c>
      <c r="H11" s="106">
        <f>'Operating Expenses'!H$15</f>
        <v>8550</v>
      </c>
      <c r="I11" s="106">
        <f>'Operating Expenses'!I$15</f>
        <v>10550</v>
      </c>
      <c r="J11" s="106">
        <f>'Operating Expenses'!J$15</f>
        <v>8550</v>
      </c>
      <c r="K11" s="106">
        <f>'Operating Expenses'!K$15</f>
        <v>15683</v>
      </c>
      <c r="L11" s="106">
        <f>'Operating Expenses'!L$15</f>
        <v>13683</v>
      </c>
      <c r="M11" s="106">
        <f>'Operating Expenses'!M$15</f>
        <v>13683</v>
      </c>
      <c r="N11" s="106">
        <f>'Operating Expenses'!N$15</f>
        <v>17358</v>
      </c>
      <c r="O11" s="106">
        <f>'Operating Expenses'!O$15</f>
        <v>17358</v>
      </c>
      <c r="P11" s="106">
        <f>'Operating Expenses'!P$15</f>
        <v>15358</v>
      </c>
      <c r="Q11" s="106">
        <f>'Operating Expenses'!Q$15</f>
        <v>18283</v>
      </c>
      <c r="R11" s="106">
        <f>'Operating Expenses'!R$15</f>
        <v>16283</v>
      </c>
      <c r="S11" s="106">
        <f>'Operating Expenses'!S$15</f>
        <v>27783</v>
      </c>
      <c r="T11" s="106">
        <f>'Operating Expenses'!T$15</f>
        <v>23783</v>
      </c>
      <c r="U11" s="106">
        <f>'Operating Expenses'!U$15</f>
        <v>18283</v>
      </c>
      <c r="V11" s="106">
        <f>'Operating Expenses'!V$15</f>
        <v>16283</v>
      </c>
      <c r="W11" s="106">
        <f>'Operating Expenses'!W$15</f>
        <v>16283</v>
      </c>
      <c r="X11" s="106">
        <f>'Operating Expenses'!X$15</f>
        <v>18283</v>
      </c>
      <c r="Y11" s="106">
        <f>'Operating Expenses'!Y$15</f>
        <v>20283</v>
      </c>
      <c r="Z11" s="106">
        <f>'Operating Expenses'!Z$15</f>
        <v>24533</v>
      </c>
      <c r="AA11" s="106">
        <f>'Operating Expenses'!AA$15</f>
        <v>22533</v>
      </c>
      <c r="AB11" s="106">
        <f>'Operating Expenses'!AB$15</f>
        <v>26183</v>
      </c>
      <c r="AC11" s="106">
        <f>'Operating Expenses'!AC$15</f>
        <v>22183</v>
      </c>
      <c r="AD11" s="106">
        <f>'Operating Expenses'!AD$15</f>
        <v>22183</v>
      </c>
      <c r="AE11" s="106">
        <f>'Operating Expenses'!AE$15</f>
        <v>30183</v>
      </c>
      <c r="AF11" s="106">
        <f>'Operating Expenses'!AF$15</f>
        <v>28183</v>
      </c>
      <c r="AG11" s="106">
        <f>'Operating Expenses'!AG$15</f>
        <v>24183</v>
      </c>
      <c r="AH11" s="106">
        <f>'Operating Expenses'!AH$15</f>
        <v>22183</v>
      </c>
      <c r="AI11" s="106">
        <f>'Operating Expenses'!AI$15</f>
        <v>24183</v>
      </c>
      <c r="AJ11" s="106">
        <f>'Operating Expenses'!AJ$15</f>
        <v>22183</v>
      </c>
      <c r="AK11" s="106">
        <f>'Operating Expenses'!AK$15</f>
        <v>24183</v>
      </c>
      <c r="AL11" s="106"/>
      <c r="AM11" s="62"/>
      <c r="AN11" s="62"/>
    </row>
    <row r="12" spans="1:44" ht="14.25" customHeight="1" x14ac:dyDescent="0.45">
      <c r="A12" s="23" t="s">
        <v>458</v>
      </c>
      <c r="B12" s="107">
        <f>'Operating Expenses'!B$24</f>
        <v>22875</v>
      </c>
      <c r="C12" s="107">
        <f>'Operating Expenses'!C$24</f>
        <v>22875</v>
      </c>
      <c r="D12" s="107">
        <f>'Operating Expenses'!D$24</f>
        <v>22875</v>
      </c>
      <c r="E12" s="107">
        <f>'Operating Expenses'!E$24</f>
        <v>38708.333333333328</v>
      </c>
      <c r="F12" s="107">
        <f>'Operating Expenses'!F$24</f>
        <v>38708.333333333328</v>
      </c>
      <c r="G12" s="107">
        <f>'Operating Expenses'!G$24</f>
        <v>38708.333333333328</v>
      </c>
      <c r="H12" s="107">
        <f>'Operating Expenses'!H$24</f>
        <v>38708.333333333328</v>
      </c>
      <c r="I12" s="107">
        <f>'Operating Expenses'!I$24</f>
        <v>45708.333333333328</v>
      </c>
      <c r="J12" s="107">
        <f>'Operating Expenses'!J$24</f>
        <v>45708.333333333328</v>
      </c>
      <c r="K12" s="107">
        <f>'Operating Expenses'!K$24</f>
        <v>52479.166666666664</v>
      </c>
      <c r="L12" s="107">
        <f>'Operating Expenses'!L$24</f>
        <v>52479.166666666664</v>
      </c>
      <c r="M12" s="107">
        <f>'Operating Expenses'!M$24</f>
        <v>52479.166666666664</v>
      </c>
      <c r="N12" s="107">
        <f>'Operating Expenses'!N$24</f>
        <v>52479.166666666664</v>
      </c>
      <c r="O12" s="107">
        <f>'Operating Expenses'!O$24</f>
        <v>59304.166666666664</v>
      </c>
      <c r="P12" s="107">
        <f>'Operating Expenses'!P$24</f>
        <v>59304.166666666664</v>
      </c>
      <c r="Q12" s="107">
        <f>'Operating Expenses'!Q$24</f>
        <v>71283.333333333343</v>
      </c>
      <c r="R12" s="107">
        <f>'Operating Expenses'!R$24</f>
        <v>71283.333333333343</v>
      </c>
      <c r="S12" s="107">
        <f>'Operating Expenses'!S$24</f>
        <v>79595.833333333343</v>
      </c>
      <c r="T12" s="107">
        <f>'Operating Expenses'!T$24</f>
        <v>79595.833333333343</v>
      </c>
      <c r="U12" s="107">
        <f>'Operating Expenses'!U$24</f>
        <v>91575.000000000015</v>
      </c>
      <c r="V12" s="107">
        <f>'Operating Expenses'!V$24</f>
        <v>91575.000000000015</v>
      </c>
      <c r="W12" s="107">
        <f>'Operating Expenses'!W$24</f>
        <v>91575.000000000015</v>
      </c>
      <c r="X12" s="107">
        <f>'Operating Expenses'!X$24</f>
        <v>98400.000000000015</v>
      </c>
      <c r="Y12" s="107">
        <f>'Operating Expenses'!Y$24</f>
        <v>98400.000000000015</v>
      </c>
      <c r="Z12" s="107">
        <f>'Operating Expenses'!Z$24</f>
        <v>121679.16666666669</v>
      </c>
      <c r="AA12" s="107">
        <f>'Operating Expenses'!AA$24</f>
        <v>130254.16666666669</v>
      </c>
      <c r="AB12" s="107">
        <f>'Operating Expenses'!AB$24</f>
        <v>143170.83333333334</v>
      </c>
      <c r="AC12" s="107">
        <f>'Operating Expenses'!AC$24</f>
        <v>143170.83333333334</v>
      </c>
      <c r="AD12" s="107">
        <f>'Operating Expenses'!AD$24</f>
        <v>143170.83333333334</v>
      </c>
      <c r="AE12" s="107">
        <f>'Operating Expenses'!AE$24</f>
        <v>159837.5</v>
      </c>
      <c r="AF12" s="107">
        <f>'Operating Expenses'!AF$24</f>
        <v>159837.5</v>
      </c>
      <c r="AG12" s="107">
        <f>'Operating Expenses'!AG$24</f>
        <v>167712.5</v>
      </c>
      <c r="AH12" s="107">
        <f>'Operating Expenses'!AH$24</f>
        <v>167712.5</v>
      </c>
      <c r="AI12" s="107">
        <f>'Operating Expenses'!AI$24</f>
        <v>180212.5</v>
      </c>
      <c r="AJ12" s="107">
        <f>'Operating Expenses'!AJ$24</f>
        <v>180212.5</v>
      </c>
      <c r="AK12" s="107">
        <f>'Operating Expenses'!AK$24</f>
        <v>188545.83333333334</v>
      </c>
      <c r="AL12" s="107">
        <f>'Operating Expenses'!AL$23</f>
        <v>0</v>
      </c>
      <c r="AM12" s="104">
        <f>'Operating Expenses'!AM$23</f>
        <v>0</v>
      </c>
      <c r="AN12" s="104">
        <f>'Operating Expenses'!AN$23</f>
        <v>0</v>
      </c>
      <c r="AO12">
        <f>'Operating Expenses'!AO$23</f>
        <v>0</v>
      </c>
      <c r="AP12">
        <f>'Operating Expenses'!AP$23</f>
        <v>0</v>
      </c>
      <c r="AQ12">
        <f>'Operating Expenses'!AQ$23</f>
        <v>0</v>
      </c>
      <c r="AR12">
        <f>'Operating Expenses'!AR$23</f>
        <v>0</v>
      </c>
    </row>
    <row r="13" spans="1:44" ht="14.25" customHeight="1" x14ac:dyDescent="0.45">
      <c r="A13" s="25" t="s">
        <v>459</v>
      </c>
      <c r="B13" s="106">
        <f>'Operating Expenses'!B$22</f>
        <v>5000</v>
      </c>
      <c r="C13" s="106">
        <f>'Operating Expenses'!C$22</f>
        <v>5000</v>
      </c>
      <c r="D13" s="106">
        <f>'Operating Expenses'!D$22</f>
        <v>5000</v>
      </c>
      <c r="E13" s="106">
        <f>'Operating Expenses'!E$22</f>
        <v>11944.307692307691</v>
      </c>
      <c r="F13" s="106">
        <f>'Operating Expenses'!F$22</f>
        <v>12531.2</v>
      </c>
      <c r="G13" s="106">
        <f>'Operating Expenses'!G$22</f>
        <v>15227.572777314428</v>
      </c>
      <c r="H13" s="106">
        <f>'Operating Expenses'!H$22</f>
        <v>17195.876923076925</v>
      </c>
      <c r="I13" s="106">
        <f>'Operating Expenses'!I$22</f>
        <v>17195.876923076925</v>
      </c>
      <c r="J13" s="106">
        <f>'Operating Expenses'!J$22</f>
        <v>18724.593006993007</v>
      </c>
      <c r="K13" s="106">
        <f>'Operating Expenses'!K$22</f>
        <v>17510.646153846155</v>
      </c>
      <c r="L13" s="106">
        <f>'Operating Expenses'!L$22</f>
        <v>17706.276923076923</v>
      </c>
      <c r="M13" s="106">
        <f>'Operating Expenses'!M$22</f>
        <v>20845.984895104899</v>
      </c>
      <c r="N13" s="106">
        <f>'Operating Expenses'!N$22</f>
        <v>22142.792307692307</v>
      </c>
      <c r="O13" s="106">
        <f>'Operating Expenses'!O$22</f>
        <v>22142.792307692307</v>
      </c>
      <c r="P13" s="106">
        <f>'Operating Expenses'!P$22</f>
        <v>26198.146415341034</v>
      </c>
      <c r="Q13" s="106">
        <f>'Operating Expenses'!Q$22</f>
        <v>29186.323736263737</v>
      </c>
      <c r="R13" s="106">
        <f>'Operating Expenses'!R$22</f>
        <v>30198.052307692309</v>
      </c>
      <c r="S13" s="106">
        <f>'Operating Expenses'!S$22</f>
        <v>41718.578021978021</v>
      </c>
      <c r="T13" s="106">
        <f>'Operating Expenses'!T$22</f>
        <v>36848.15</v>
      </c>
      <c r="U13" s="106">
        <f>'Operating Expenses'!U$22</f>
        <v>36848.15</v>
      </c>
      <c r="V13" s="106">
        <f>'Operating Expenses'!V$22</f>
        <v>46454.457624309398</v>
      </c>
      <c r="W13" s="106">
        <f>'Operating Expenses'!W$22</f>
        <v>39758.293506493508</v>
      </c>
      <c r="X13" s="106">
        <f>'Operating Expenses'!X$22</f>
        <v>46663.675000000003</v>
      </c>
      <c r="Y13" s="106">
        <f>'Operating Expenses'!Y$22</f>
        <v>65031.402803970224</v>
      </c>
      <c r="Z13" s="106">
        <f>'Operating Expenses'!Z$22</f>
        <v>58235.623999999996</v>
      </c>
      <c r="AA13" s="106">
        <f>'Operating Expenses'!AA$22</f>
        <v>58235.623999999996</v>
      </c>
      <c r="AB13" s="106">
        <f>'Operating Expenses'!AB$22</f>
        <v>82096.528483985763</v>
      </c>
      <c r="AC13" s="106">
        <f>'Operating Expenses'!AC$22</f>
        <v>59442.169454545452</v>
      </c>
      <c r="AD13" s="106">
        <f>'Operating Expenses'!AD$22</f>
        <v>61587.748999999996</v>
      </c>
      <c r="AE13" s="106">
        <f>'Operating Expenses'!AE$22</f>
        <v>90428.973462650814</v>
      </c>
      <c r="AF13" s="106">
        <f>'Operating Expenses'!AF$22</f>
        <v>64397.323999999993</v>
      </c>
      <c r="AG13" s="106">
        <f>'Operating Expenses'!AG$22</f>
        <v>64397.323999999993</v>
      </c>
      <c r="AH13" s="106">
        <f>'Operating Expenses'!AH$22</f>
        <v>99483.732608414226</v>
      </c>
      <c r="AI13" s="106">
        <f>'Operating Expenses'!AI$22</f>
        <v>64397.323999999993</v>
      </c>
      <c r="AJ13" s="106">
        <f>'Operating Expenses'!AJ$22</f>
        <v>64397.323999999993</v>
      </c>
      <c r="AK13" s="106">
        <f>'Operating Expenses'!AK$22</f>
        <v>107386.71024083771</v>
      </c>
      <c r="AL13" s="106">
        <f>'Operating Expenses'!AL$21</f>
        <v>9137.6999999999989</v>
      </c>
      <c r="AM13" s="62">
        <f>'Operating Expenses'!AM$21</f>
        <v>9137.6999999999989</v>
      </c>
      <c r="AN13" s="62">
        <f>'Operating Expenses'!AN$21</f>
        <v>9137.6999999999989</v>
      </c>
      <c r="AO13">
        <f>'Operating Expenses'!AO$21</f>
        <v>0</v>
      </c>
      <c r="AP13">
        <f>'Operating Expenses'!AP$21</f>
        <v>0</v>
      </c>
      <c r="AQ13">
        <f>'Operating Expenses'!AQ$21</f>
        <v>0</v>
      </c>
      <c r="AR13">
        <f>'Operating Expenses'!AR$21</f>
        <v>0</v>
      </c>
    </row>
    <row r="14" spans="1:44" ht="14.25" customHeight="1" x14ac:dyDescent="0.45">
      <c r="A14" s="23" t="s">
        <v>460</v>
      </c>
      <c r="B14" s="107">
        <f>'Operating Expenses'!B$25</f>
        <v>30000</v>
      </c>
      <c r="C14" s="107">
        <f>'Operating Expenses'!C$25</f>
        <v>30000</v>
      </c>
      <c r="D14" s="107">
        <f>'Operating Expenses'!D$25</f>
        <v>30000</v>
      </c>
      <c r="E14" s="107">
        <f>'Operating Expenses'!E$25</f>
        <v>30000</v>
      </c>
      <c r="F14" s="107">
        <f>'Operating Expenses'!F$25</f>
        <v>30000</v>
      </c>
      <c r="G14" s="107">
        <f>'Operating Expenses'!G$25</f>
        <v>30000</v>
      </c>
      <c r="H14" s="107">
        <f>'Operating Expenses'!H$25</f>
        <v>30000</v>
      </c>
      <c r="I14" s="107">
        <f>'Operating Expenses'!I$25</f>
        <v>30000</v>
      </c>
      <c r="J14" s="107">
        <f>'Operating Expenses'!J$25</f>
        <v>30000</v>
      </c>
      <c r="K14" s="107">
        <f>'Operating Expenses'!K$25</f>
        <v>30000</v>
      </c>
      <c r="L14" s="107">
        <f>'Operating Expenses'!L$25</f>
        <v>30000</v>
      </c>
      <c r="M14" s="107">
        <f>'Operating Expenses'!M$25</f>
        <v>30000</v>
      </c>
      <c r="N14" s="107">
        <f>'Operating Expenses'!N$25</f>
        <v>50000</v>
      </c>
      <c r="O14" s="107">
        <f>'Operating Expenses'!O$25</f>
        <v>50000</v>
      </c>
      <c r="P14" s="107">
        <f>'Operating Expenses'!P$25</f>
        <v>50000</v>
      </c>
      <c r="Q14" s="107">
        <f>'Operating Expenses'!Q$25</f>
        <v>50000</v>
      </c>
      <c r="R14" s="107">
        <f>'Operating Expenses'!R$25</f>
        <v>50000</v>
      </c>
      <c r="S14" s="107">
        <f>'Operating Expenses'!S$25</f>
        <v>50000</v>
      </c>
      <c r="T14" s="107">
        <f>'Operating Expenses'!T$25</f>
        <v>50000</v>
      </c>
      <c r="U14" s="107">
        <f>'Operating Expenses'!U$25</f>
        <v>50000</v>
      </c>
      <c r="V14" s="107">
        <f>'Operating Expenses'!V$25</f>
        <v>50000</v>
      </c>
      <c r="W14" s="107">
        <f>'Operating Expenses'!W$25</f>
        <v>50000</v>
      </c>
      <c r="X14" s="107">
        <f>'Operating Expenses'!X$25</f>
        <v>50000</v>
      </c>
      <c r="Y14" s="107">
        <f>'Operating Expenses'!Y$25</f>
        <v>50000</v>
      </c>
      <c r="Z14" s="107">
        <f>'Operating Expenses'!Z$25</f>
        <v>75000</v>
      </c>
      <c r="AA14" s="107">
        <f>'Operating Expenses'!AA$25</f>
        <v>75000</v>
      </c>
      <c r="AB14" s="107">
        <f>'Operating Expenses'!AB$25</f>
        <v>75000</v>
      </c>
      <c r="AC14" s="107">
        <f>'Operating Expenses'!AC$25</f>
        <v>75000</v>
      </c>
      <c r="AD14" s="107">
        <f>'Operating Expenses'!AD$25</f>
        <v>75000</v>
      </c>
      <c r="AE14" s="107">
        <f>'Operating Expenses'!AE$25</f>
        <v>75000</v>
      </c>
      <c r="AF14" s="107">
        <f>'Operating Expenses'!AF$25</f>
        <v>75000</v>
      </c>
      <c r="AG14" s="107">
        <f>'Operating Expenses'!AG$25</f>
        <v>75000</v>
      </c>
      <c r="AH14" s="107">
        <f>'Operating Expenses'!AH$25</f>
        <v>75000</v>
      </c>
      <c r="AI14" s="107">
        <f>'Operating Expenses'!AI$25</f>
        <v>75000</v>
      </c>
      <c r="AJ14" s="107">
        <f>'Operating Expenses'!AJ$25</f>
        <v>75000</v>
      </c>
      <c r="AK14" s="107">
        <f>'Operating Expenses'!AK$25</f>
        <v>75000</v>
      </c>
      <c r="AL14" s="107">
        <f>'Operating Expenses'!AL$24</f>
        <v>0</v>
      </c>
      <c r="AM14" s="104">
        <f>'Operating Expenses'!AM$24</f>
        <v>0</v>
      </c>
      <c r="AN14" s="104">
        <f>'Operating Expenses'!AN$24</f>
        <v>0</v>
      </c>
      <c r="AO14">
        <f>'Operating Expenses'!AO$24</f>
        <v>0</v>
      </c>
      <c r="AP14">
        <f>'Operating Expenses'!AP$24</f>
        <v>0</v>
      </c>
      <c r="AQ14">
        <f>'Operating Expenses'!AQ$24</f>
        <v>0</v>
      </c>
      <c r="AR14">
        <f>'Operating Expenses'!AR$24</f>
        <v>0</v>
      </c>
    </row>
    <row r="15" spans="1:44" ht="14.25" customHeight="1" x14ac:dyDescent="0.45">
      <c r="A15" s="28" t="s">
        <v>451</v>
      </c>
      <c r="B15" s="29">
        <f t="shared" ref="B15:AK15" si="2">B$11+B$12+B$13+B$14</f>
        <v>68375</v>
      </c>
      <c r="C15" s="29">
        <f t="shared" si="2"/>
        <v>62375</v>
      </c>
      <c r="D15" s="29">
        <f t="shared" si="2"/>
        <v>62375</v>
      </c>
      <c r="E15" s="29">
        <f t="shared" si="2"/>
        <v>91202.641025641016</v>
      </c>
      <c r="F15" s="29">
        <f t="shared" si="2"/>
        <v>89789.533333333326</v>
      </c>
      <c r="G15" s="29">
        <f t="shared" si="2"/>
        <v>94485.90611064776</v>
      </c>
      <c r="H15" s="29">
        <f t="shared" si="2"/>
        <v>94454.210256410253</v>
      </c>
      <c r="I15" s="29">
        <f t="shared" si="2"/>
        <v>103454.21025641025</v>
      </c>
      <c r="J15" s="29">
        <f t="shared" si="2"/>
        <v>102982.92634032633</v>
      </c>
      <c r="K15" s="29">
        <f t="shared" si="2"/>
        <v>115672.81282051282</v>
      </c>
      <c r="L15" s="29">
        <f t="shared" si="2"/>
        <v>113868.44358974358</v>
      </c>
      <c r="M15" s="29">
        <f t="shared" si="2"/>
        <v>117008.15156177155</v>
      </c>
      <c r="N15" s="29">
        <f t="shared" si="2"/>
        <v>141979.95897435897</v>
      </c>
      <c r="O15" s="29">
        <f t="shared" si="2"/>
        <v>148804.95897435897</v>
      </c>
      <c r="P15" s="29">
        <f t="shared" si="2"/>
        <v>150860.31308200769</v>
      </c>
      <c r="Q15" s="29">
        <f t="shared" si="2"/>
        <v>168752.65706959707</v>
      </c>
      <c r="R15" s="29">
        <f t="shared" si="2"/>
        <v>167764.38564102567</v>
      </c>
      <c r="S15" s="29">
        <f t="shared" si="2"/>
        <v>199097.41135531137</v>
      </c>
      <c r="T15" s="29">
        <f t="shared" si="2"/>
        <v>190226.98333333334</v>
      </c>
      <c r="U15" s="29">
        <f t="shared" si="2"/>
        <v>196706.15000000002</v>
      </c>
      <c r="V15" s="29">
        <f t="shared" si="2"/>
        <v>204312.45762430941</v>
      </c>
      <c r="W15" s="29">
        <f t="shared" si="2"/>
        <v>197616.29350649353</v>
      </c>
      <c r="X15" s="29">
        <f t="shared" si="2"/>
        <v>213346.67500000002</v>
      </c>
      <c r="Y15" s="29">
        <f t="shared" si="2"/>
        <v>233714.40280397024</v>
      </c>
      <c r="Z15" s="29">
        <f t="shared" si="2"/>
        <v>279447.7906666667</v>
      </c>
      <c r="AA15" s="29">
        <f t="shared" si="2"/>
        <v>286022.7906666667</v>
      </c>
      <c r="AB15" s="29">
        <f t="shared" si="2"/>
        <v>326450.36181731912</v>
      </c>
      <c r="AC15" s="29">
        <f t="shared" si="2"/>
        <v>299796.0027878788</v>
      </c>
      <c r="AD15" s="29">
        <f t="shared" si="2"/>
        <v>301941.58233333332</v>
      </c>
      <c r="AE15" s="29">
        <f t="shared" si="2"/>
        <v>355449.47346265079</v>
      </c>
      <c r="AF15" s="29">
        <f t="shared" si="2"/>
        <v>327417.82400000002</v>
      </c>
      <c r="AG15" s="29">
        <f t="shared" si="2"/>
        <v>331292.82400000002</v>
      </c>
      <c r="AH15" s="29">
        <f t="shared" si="2"/>
        <v>364379.23260841426</v>
      </c>
      <c r="AI15" s="29">
        <f t="shared" si="2"/>
        <v>343792.82400000002</v>
      </c>
      <c r="AJ15" s="29">
        <f t="shared" si="2"/>
        <v>341792.82400000002</v>
      </c>
      <c r="AK15" s="29">
        <f t="shared" si="2"/>
        <v>395115.54357417102</v>
      </c>
      <c r="AL15" s="29"/>
      <c r="AM15" s="35"/>
      <c r="AN15" s="35"/>
    </row>
    <row r="16" spans="1:44" ht="14.25" customHeight="1" x14ac:dyDescent="0.45">
      <c r="A16" s="164" t="s">
        <v>47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3"/>
      <c r="AL16" s="109"/>
      <c r="AM16" s="104"/>
      <c r="AN16" s="104"/>
    </row>
    <row r="17" spans="1:40" ht="14.25" customHeight="1" x14ac:dyDescent="0.45">
      <c r="A17" s="28" t="s">
        <v>48</v>
      </c>
      <c r="B17" s="29">
        <f t="shared" ref="B17:AK17" si="3">B$8-B$15</f>
        <v>-68375</v>
      </c>
      <c r="C17" s="29">
        <f t="shared" si="3"/>
        <v>-62375</v>
      </c>
      <c r="D17" s="29">
        <f t="shared" si="3"/>
        <v>-62375</v>
      </c>
      <c r="E17" s="29">
        <f t="shared" si="3"/>
        <v>-87246.571025641009</v>
      </c>
      <c r="F17" s="29">
        <f t="shared" si="3"/>
        <v>-83023.745485057458</v>
      </c>
      <c r="G17" s="29">
        <f t="shared" si="3"/>
        <v>-81708.146459271607</v>
      </c>
      <c r="H17" s="29">
        <f t="shared" si="3"/>
        <v>-75528.08879776363</v>
      </c>
      <c r="I17" s="29">
        <f t="shared" si="3"/>
        <v>-78203.296715056873</v>
      </c>
      <c r="J17" s="29">
        <f t="shared" si="3"/>
        <v>-71011.778158508154</v>
      </c>
      <c r="K17" s="29">
        <f t="shared" si="3"/>
        <v>-76975.479184149182</v>
      </c>
      <c r="L17" s="29">
        <f t="shared" si="3"/>
        <v>-68468.946589743573</v>
      </c>
      <c r="M17" s="29">
        <f t="shared" si="3"/>
        <v>-64930.513289044276</v>
      </c>
      <c r="N17" s="29">
        <f t="shared" si="3"/>
        <v>-78131.283315822395</v>
      </c>
      <c r="O17" s="29">
        <f t="shared" si="3"/>
        <v>-76251.009373792418</v>
      </c>
      <c r="P17" s="29">
        <f t="shared" si="3"/>
        <v>-68009.992118834896</v>
      </c>
      <c r="Q17" s="29">
        <f t="shared" si="3"/>
        <v>-75875.406593893742</v>
      </c>
      <c r="R17" s="29">
        <f t="shared" si="3"/>
        <v>-63852.758275870539</v>
      </c>
      <c r="S17" s="29">
        <f t="shared" si="3"/>
        <v>-80573.985028780764</v>
      </c>
      <c r="T17" s="29">
        <f t="shared" si="3"/>
        <v>-56603.361327808467</v>
      </c>
      <c r="U17" s="29">
        <f t="shared" si="3"/>
        <v>-47159.503591160232</v>
      </c>
      <c r="V17" s="29">
        <f t="shared" si="3"/>
        <v>-37612.021640883991</v>
      </c>
      <c r="W17" s="29">
        <f t="shared" si="3"/>
        <v>-13839.571085440897</v>
      </c>
      <c r="X17" s="29">
        <f t="shared" si="3"/>
        <v>-5774.7281179941201</v>
      </c>
      <c r="Y17" s="29">
        <f t="shared" si="3"/>
        <v>-1698.3863577336888</v>
      </c>
      <c r="Z17" s="29">
        <f t="shared" si="3"/>
        <v>-12632.037558718934</v>
      </c>
      <c r="AA17" s="29">
        <f t="shared" si="3"/>
        <v>6237.7261897983262</v>
      </c>
      <c r="AB17" s="29">
        <f t="shared" si="3"/>
        <v>-8854.7569181494764</v>
      </c>
      <c r="AC17" s="29">
        <f t="shared" si="3"/>
        <v>47454.511701214185</v>
      </c>
      <c r="AD17" s="29">
        <f t="shared" si="3"/>
        <v>74554.610836586275</v>
      </c>
      <c r="AE17" s="29">
        <f t="shared" si="3"/>
        <v>50103.601738683996</v>
      </c>
      <c r="AF17" s="29">
        <f t="shared" si="3"/>
        <v>115245.37623136817</v>
      </c>
      <c r="AG17" s="29">
        <f t="shared" si="3"/>
        <v>145742.11676195764</v>
      </c>
      <c r="AH17" s="29">
        <f t="shared" si="3"/>
        <v>146666.12137108948</v>
      </c>
      <c r="AI17" s="29">
        <f t="shared" si="3"/>
        <v>207664.98653182306</v>
      </c>
      <c r="AJ17" s="29">
        <f t="shared" si="3"/>
        <v>247397.12119685858</v>
      </c>
      <c r="AK17" s="29">
        <f t="shared" si="3"/>
        <v>232639.14775671903</v>
      </c>
      <c r="AL17" s="29"/>
      <c r="AM17" s="35"/>
      <c r="AN17" s="35"/>
    </row>
    <row r="18" spans="1:40" ht="14.25" customHeight="1" x14ac:dyDescent="0.45">
      <c r="A18" s="28" t="s">
        <v>49</v>
      </c>
      <c r="B18" s="30">
        <f t="shared" ref="B18:AK18" si="4">IF(B$5&gt;0,B$17/B$5,0)</f>
        <v>0</v>
      </c>
      <c r="C18" s="30">
        <f t="shared" si="4"/>
        <v>0</v>
      </c>
      <c r="D18" s="30">
        <f t="shared" si="4"/>
        <v>0</v>
      </c>
      <c r="E18" s="30">
        <f t="shared" si="4"/>
        <v>-12.202317625963778</v>
      </c>
      <c r="F18" s="30">
        <f t="shared" si="4"/>
        <v>-7.7523431301965324</v>
      </c>
      <c r="G18" s="30">
        <f t="shared" si="4"/>
        <v>-4.5647430318462296</v>
      </c>
      <c r="H18" s="30">
        <f t="shared" si="4"/>
        <v>-2.9674032891770938</v>
      </c>
      <c r="I18" s="30">
        <f t="shared" si="4"/>
        <v>-2.3567693963947667</v>
      </c>
      <c r="J18" s="30">
        <f t="shared" si="4"/>
        <v>-1.7151473546836828</v>
      </c>
      <c r="K18" s="30">
        <f t="shared" si="4"/>
        <v>-1.5511573653537307</v>
      </c>
      <c r="L18" s="30">
        <f t="shared" si="4"/>
        <v>-1.1842355464611372</v>
      </c>
      <c r="M18" s="30">
        <f t="shared" si="4"/>
        <v>-0.98409251024687472</v>
      </c>
      <c r="N18" s="30">
        <f t="shared" si="4"/>
        <v>-0.98687384001451572</v>
      </c>
      <c r="O18" s="30">
        <f t="shared" si="4"/>
        <v>-0.85319249156007071</v>
      </c>
      <c r="P18" s="30">
        <f t="shared" si="4"/>
        <v>-0.67081680478222672</v>
      </c>
      <c r="Q18" s="30">
        <f t="shared" si="4"/>
        <v>-0.66845547589312326</v>
      </c>
      <c r="R18" s="30">
        <f t="shared" si="4"/>
        <v>-0.50473298672888045</v>
      </c>
      <c r="S18" s="30">
        <f t="shared" si="4"/>
        <v>-0.56102044311965471</v>
      </c>
      <c r="T18" s="30">
        <f t="shared" si="4"/>
        <v>-0.35065993063041456</v>
      </c>
      <c r="U18" s="30">
        <f t="shared" si="4"/>
        <v>-0.26191685026081624</v>
      </c>
      <c r="V18" s="30">
        <f t="shared" si="4"/>
        <v>-0.18793662553485238</v>
      </c>
      <c r="W18" s="30">
        <f t="shared" si="4"/>
        <v>-6.2845949189037714E-2</v>
      </c>
      <c r="X18" s="30">
        <f t="shared" si="4"/>
        <v>-2.3322954562282946E-2</v>
      </c>
      <c r="Y18" s="30">
        <f t="shared" si="4"/>
        <v>-6.1563769645085614E-3</v>
      </c>
      <c r="Z18" s="30">
        <f t="shared" si="4"/>
        <v>-4.0866147651716984E-2</v>
      </c>
      <c r="AA18" s="30">
        <f t="shared" si="4"/>
        <v>1.8464011271158234E-2</v>
      </c>
      <c r="AB18" s="30">
        <f t="shared" si="4"/>
        <v>-2.4164819576831587E-2</v>
      </c>
      <c r="AC18" s="30">
        <f t="shared" si="4"/>
        <v>0.1186695230689124</v>
      </c>
      <c r="AD18" s="30">
        <f t="shared" si="4"/>
        <v>0.17221769442961748</v>
      </c>
      <c r="AE18" s="30">
        <f t="shared" si="4"/>
        <v>0.10756438896427881</v>
      </c>
      <c r="AF18" s="30">
        <f t="shared" si="4"/>
        <v>0.22710646098958284</v>
      </c>
      <c r="AG18" s="30">
        <f t="shared" si="4"/>
        <v>0.26679647541039758</v>
      </c>
      <c r="AH18" s="30">
        <f t="shared" si="4"/>
        <v>0.25080843640847889</v>
      </c>
      <c r="AI18" s="30">
        <f t="shared" si="4"/>
        <v>0.32952290469579815</v>
      </c>
      <c r="AJ18" s="30">
        <f t="shared" si="4"/>
        <v>0.36764509600601331</v>
      </c>
      <c r="AK18" s="30">
        <f t="shared" si="4"/>
        <v>0.3246929087846207</v>
      </c>
      <c r="AL18" s="30"/>
      <c r="AM18" s="35"/>
      <c r="AN18" s="35"/>
    </row>
    <row r="19" spans="1:40" x14ac:dyDescent="0.4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14.25" customHeight="1" x14ac:dyDescent="0.45">
      <c r="A20" s="35" t="s">
        <v>104</v>
      </c>
      <c r="B20" s="36">
        <f>B17</f>
        <v>-68375</v>
      </c>
      <c r="C20" s="36">
        <f t="shared" ref="C20:AK20" si="5">B20+C17</f>
        <v>-130750</v>
      </c>
      <c r="D20" s="36">
        <f t="shared" si="5"/>
        <v>-193125</v>
      </c>
      <c r="E20" s="36">
        <f t="shared" si="5"/>
        <v>-280371.57102564099</v>
      </c>
      <c r="F20" s="36">
        <f t="shared" si="5"/>
        <v>-363395.31651069847</v>
      </c>
      <c r="G20" s="36">
        <f t="shared" si="5"/>
        <v>-445103.46296997007</v>
      </c>
      <c r="H20" s="36">
        <f t="shared" si="5"/>
        <v>-520631.5517677337</v>
      </c>
      <c r="I20" s="36">
        <f t="shared" si="5"/>
        <v>-598834.84848279064</v>
      </c>
      <c r="J20" s="36">
        <f t="shared" si="5"/>
        <v>-669846.62664129876</v>
      </c>
      <c r="K20" s="36">
        <f t="shared" si="5"/>
        <v>-746822.10582544794</v>
      </c>
      <c r="L20" s="36">
        <f t="shared" si="5"/>
        <v>-815291.05241519155</v>
      </c>
      <c r="M20" s="36">
        <f t="shared" si="5"/>
        <v>-880221.56570423581</v>
      </c>
      <c r="N20" s="36">
        <f t="shared" si="5"/>
        <v>-958352.84902005817</v>
      </c>
      <c r="O20" s="36">
        <f t="shared" si="5"/>
        <v>-1034603.8583938506</v>
      </c>
      <c r="P20" s="36">
        <f t="shared" si="5"/>
        <v>-1102613.8505126855</v>
      </c>
      <c r="Q20" s="36">
        <f t="shared" si="5"/>
        <v>-1178489.2571065791</v>
      </c>
      <c r="R20" s="36">
        <f t="shared" si="5"/>
        <v>-1242342.0153824496</v>
      </c>
      <c r="S20" s="36">
        <f t="shared" si="5"/>
        <v>-1322916.0004112304</v>
      </c>
      <c r="T20" s="36">
        <f t="shared" si="5"/>
        <v>-1379519.361739039</v>
      </c>
      <c r="U20" s="36">
        <f t="shared" si="5"/>
        <v>-1426678.8653301992</v>
      </c>
      <c r="V20" s="36">
        <f t="shared" si="5"/>
        <v>-1464290.8869710832</v>
      </c>
      <c r="W20" s="36">
        <f t="shared" si="5"/>
        <v>-1478130.4580565242</v>
      </c>
      <c r="X20" s="36">
        <f t="shared" si="5"/>
        <v>-1483905.1861745182</v>
      </c>
      <c r="Y20" s="36">
        <f t="shared" si="5"/>
        <v>-1485603.5725322519</v>
      </c>
      <c r="Z20" s="36">
        <f t="shared" si="5"/>
        <v>-1498235.610090971</v>
      </c>
      <c r="AA20" s="36">
        <f t="shared" si="5"/>
        <v>-1491997.8839011728</v>
      </c>
      <c r="AB20" s="36">
        <f t="shared" si="5"/>
        <v>-1500852.6408193223</v>
      </c>
      <c r="AC20" s="36">
        <f t="shared" si="5"/>
        <v>-1453398.1291181082</v>
      </c>
      <c r="AD20" s="36">
        <f t="shared" si="5"/>
        <v>-1378843.518281522</v>
      </c>
      <c r="AE20" s="36">
        <f t="shared" si="5"/>
        <v>-1328739.9165428379</v>
      </c>
      <c r="AF20" s="36">
        <f t="shared" si="5"/>
        <v>-1213494.5403114697</v>
      </c>
      <c r="AG20" s="36">
        <f t="shared" si="5"/>
        <v>-1067752.4235495119</v>
      </c>
      <c r="AH20" s="36">
        <f t="shared" si="5"/>
        <v>-921086.30217842245</v>
      </c>
      <c r="AI20" s="36">
        <f t="shared" si="5"/>
        <v>-713421.3156465994</v>
      </c>
      <c r="AJ20" s="36">
        <f t="shared" si="5"/>
        <v>-466024.19444974081</v>
      </c>
      <c r="AK20" s="36">
        <f t="shared" si="5"/>
        <v>-233385.04669302178</v>
      </c>
      <c r="AL20" s="35"/>
      <c r="AM20" s="35"/>
      <c r="AN20" s="35"/>
    </row>
    <row r="21" spans="1:40" ht="14.25" customHeight="1" x14ac:dyDescent="0.45">
      <c r="A21" s="39" t="s">
        <v>105</v>
      </c>
      <c r="B21" s="110">
        <f>'Model Inputs'!$B$83+B20</f>
        <v>2431625</v>
      </c>
      <c r="C21" s="110">
        <f>'Model Inputs'!$B$83+C20</f>
        <v>2369250</v>
      </c>
      <c r="D21" s="110">
        <f>'Model Inputs'!$B$83+D20</f>
        <v>2306875</v>
      </c>
      <c r="E21" s="110">
        <f>'Model Inputs'!$B$83+E20</f>
        <v>2219628.4289743588</v>
      </c>
      <c r="F21" s="110">
        <f>'Model Inputs'!$B$83+F20</f>
        <v>2136604.6834893017</v>
      </c>
      <c r="G21" s="110">
        <f>'Model Inputs'!$B$83+G20</f>
        <v>2054896.53703003</v>
      </c>
      <c r="H21" s="110">
        <f>'Model Inputs'!$B$83+H20</f>
        <v>1979368.4482322664</v>
      </c>
      <c r="I21" s="110">
        <f>'Model Inputs'!$B$83+I20</f>
        <v>1901165.1515172094</v>
      </c>
      <c r="J21" s="110">
        <f>'Model Inputs'!$B$83+J20</f>
        <v>1830153.3733587014</v>
      </c>
      <c r="K21" s="110">
        <f>'Model Inputs'!$B$83+K20</f>
        <v>1753177.8941745521</v>
      </c>
      <c r="L21" s="110">
        <f>'Model Inputs'!$B$83+L20</f>
        <v>1684708.9475848083</v>
      </c>
      <c r="M21" s="110">
        <f>'Model Inputs'!$B$83+M20</f>
        <v>1619778.4342957642</v>
      </c>
      <c r="N21" s="110">
        <f>'Model Inputs'!$B$83+N20</f>
        <v>1541647.1509799417</v>
      </c>
      <c r="O21" s="110">
        <f>'Model Inputs'!$B$83+O20</f>
        <v>1465396.1416061493</v>
      </c>
      <c r="P21" s="110">
        <f>'Model Inputs'!$B$83+P20</f>
        <v>1397386.1494873145</v>
      </c>
      <c r="Q21" s="110">
        <f>'Model Inputs'!$B$83+Q20</f>
        <v>1321510.7428934209</v>
      </c>
      <c r="R21" s="110">
        <f>'Model Inputs'!$B$83+R20</f>
        <v>1257657.9846175504</v>
      </c>
      <c r="S21" s="110">
        <f>'Model Inputs'!$B$83+S20</f>
        <v>1177083.9995887696</v>
      </c>
      <c r="T21" s="110">
        <f>'Model Inputs'!$B$83+T20</f>
        <v>1120480.638260961</v>
      </c>
      <c r="U21" s="110">
        <f>'Model Inputs'!$B$83+U20</f>
        <v>1073321.1346698008</v>
      </c>
      <c r="V21" s="110">
        <f>'Model Inputs'!$B$83+V20</f>
        <v>1035709.1130289168</v>
      </c>
      <c r="W21" s="110">
        <f>'Model Inputs'!$B$83+W20</f>
        <v>1021869.5419434758</v>
      </c>
      <c r="X21" s="110">
        <f>'Model Inputs'!$B$83+X20</f>
        <v>1016094.8138254818</v>
      </c>
      <c r="Y21" s="110">
        <f>'Model Inputs'!$B$83+Y20</f>
        <v>1014396.4274677481</v>
      </c>
      <c r="Z21" s="110">
        <f>'Model Inputs'!$B$83+Z20</f>
        <v>1001764.389909029</v>
      </c>
      <c r="AA21" s="110">
        <f>'Model Inputs'!$B$83+AA20</f>
        <v>1008002.1160988272</v>
      </c>
      <c r="AB21" s="110">
        <f>'Model Inputs'!$B$83+AB20</f>
        <v>999147.35918067768</v>
      </c>
      <c r="AC21" s="110">
        <f>'Model Inputs'!$B$83+AC20</f>
        <v>1046601.8708818918</v>
      </c>
      <c r="AD21" s="110">
        <f>'Model Inputs'!$B$83+AD20</f>
        <v>1121156.481718478</v>
      </c>
      <c r="AE21" s="110">
        <f>'Model Inputs'!$B$83+AE20</f>
        <v>1171260.0834571621</v>
      </c>
      <c r="AF21" s="110">
        <f>'Model Inputs'!$B$83+AF20</f>
        <v>1286505.4596885303</v>
      </c>
      <c r="AG21" s="110">
        <f>'Model Inputs'!$B$83+AG20</f>
        <v>1432247.5764504881</v>
      </c>
      <c r="AH21" s="110">
        <f>'Model Inputs'!$B$83+AH20</f>
        <v>1578913.6978215775</v>
      </c>
      <c r="AI21" s="110">
        <f>'Model Inputs'!$B$83+AI20</f>
        <v>1786578.6843534005</v>
      </c>
      <c r="AJ21" s="110">
        <f>'Model Inputs'!$B$83+AJ20</f>
        <v>2033975.8055502591</v>
      </c>
      <c r="AK21" s="110">
        <f>'Model Inputs'!$B$83+AK20</f>
        <v>2266614.9533069781</v>
      </c>
      <c r="AL21" s="62"/>
      <c r="AM21" s="62"/>
      <c r="AN21" s="62"/>
    </row>
    <row r="22" spans="1:40" ht="14.25" customHeight="1" x14ac:dyDescent="0.45">
      <c r="A22" s="37" t="s">
        <v>64</v>
      </c>
      <c r="B22" s="115">
        <f>COUNTIF(B21:AK21,"&gt;0")</f>
        <v>36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</row>
  </sheetData>
  <mergeCells count="5">
    <mergeCell ref="A4:AK4"/>
    <mergeCell ref="A16:AK16"/>
    <mergeCell ref="A10:AK10"/>
    <mergeCell ref="A1:AL1"/>
    <mergeCell ref="A6:AK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9"/>
  <sheetViews>
    <sheetView zoomScaleNormal="100" workbookViewId="0">
      <selection sqref="A1:F1"/>
    </sheetView>
  </sheetViews>
  <sheetFormatPr defaultColWidth="8.6640625" defaultRowHeight="14.25" x14ac:dyDescent="0.45"/>
  <cols>
    <col min="1" max="1" width="28" customWidth="1"/>
    <col min="2" max="6" width="15" customWidth="1"/>
  </cols>
  <sheetData>
    <row r="1" spans="1:37" ht="24.75" customHeight="1" x14ac:dyDescent="0.5">
      <c r="A1" s="160" t="s">
        <v>44</v>
      </c>
      <c r="B1" s="158"/>
      <c r="C1" s="158"/>
      <c r="D1" s="158"/>
      <c r="E1" s="158"/>
      <c r="F1" s="1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</row>
    <row r="2" spans="1:37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1:37" ht="14.25" customHeight="1" x14ac:dyDescent="0.45">
      <c r="A3" s="19" t="s">
        <v>1</v>
      </c>
      <c r="B3" s="19" t="s">
        <v>461</v>
      </c>
      <c r="C3" s="19" t="s">
        <v>52</v>
      </c>
      <c r="D3" s="19" t="s">
        <v>53</v>
      </c>
      <c r="E3" s="19" t="s">
        <v>54</v>
      </c>
      <c r="F3" s="19" t="s">
        <v>462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</row>
    <row r="4" spans="1:37" ht="14.25" customHeight="1" x14ac:dyDescent="0.45">
      <c r="A4" s="157" t="s">
        <v>463</v>
      </c>
      <c r="B4" s="158"/>
      <c r="C4" s="158"/>
      <c r="D4" s="158"/>
      <c r="E4" s="158"/>
      <c r="F4" s="159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</row>
    <row r="5" spans="1:37" ht="14.25" customHeight="1" x14ac:dyDescent="0.45">
      <c r="A5" s="20" t="s">
        <v>464</v>
      </c>
      <c r="B5" s="56">
        <f>IF('Revenue Model'!B$27&gt;0,'Revenue Model'!B$30/'Revenue Model'!B$27,0)</f>
        <v>0</v>
      </c>
      <c r="C5" s="56">
        <f>IF('Revenue Model'!C$27&gt;0,'Revenue Model'!C$30/'Revenue Model'!C$27,0)</f>
        <v>0</v>
      </c>
      <c r="D5" s="56">
        <f>IF('Revenue Model'!D$27&gt;0,'Revenue Model'!D$30/'Revenue Model'!D$27,0)</f>
        <v>0</v>
      </c>
      <c r="E5" s="56">
        <f>IF('Revenue Model'!E$27&gt;0,'Revenue Model'!E$30/'Revenue Model'!E$27,0)</f>
        <v>0.12208865514650639</v>
      </c>
      <c r="F5" s="56">
        <f>IF('Revenue Model'!F$27&gt;0,'Revenue Model'!F$30/'Revenue Model'!F$27,0)</f>
        <v>0.1913436385255648</v>
      </c>
      <c r="G5" s="42">
        <f>IF('Revenue Model'!G$27&gt;0,'Revenue Model'!G$30/'Revenue Model'!G$27,0)</f>
        <v>0.13639424290884605</v>
      </c>
      <c r="H5" s="42">
        <f>IF('Revenue Model'!H$27&gt;0,'Revenue Model'!H$30/'Revenue Model'!H$27,0)</f>
        <v>0.1104923964045452</v>
      </c>
      <c r="I5" s="42">
        <f>IF('Revenue Model'!I$27&gt;0,'Revenue Model'!I$30/'Revenue Model'!I$27,0)</f>
        <v>0.1104923964045452</v>
      </c>
      <c r="J5" s="42">
        <f>IF('Revenue Model'!J$27&gt;0,'Revenue Model'!J$30/'Revenue Model'!J$27,0)</f>
        <v>0.10267005721551176</v>
      </c>
      <c r="K5" s="42">
        <f>IF('Revenue Model'!K$27&gt;0,'Revenue Model'!K$30/'Revenue Model'!K$27,0)</f>
        <v>0.10267005721551176</v>
      </c>
      <c r="L5" s="42">
        <f>IF('Revenue Model'!L$27&gt;0,'Revenue Model'!L$30/'Revenue Model'!L$27,0)</f>
        <v>0.10267005721551176</v>
      </c>
      <c r="M5" s="42">
        <f>IF('Revenue Model'!M$27&gt;0,'Revenue Model'!M$30/'Revenue Model'!M$27,0)</f>
        <v>0.10267005721551176</v>
      </c>
      <c r="N5" s="42">
        <f>IF('Revenue Model'!N$27&gt;0,'Revenue Model'!N$30/'Revenue Model'!N$27,0)</f>
        <v>9.4066032123735877E-2</v>
      </c>
      <c r="O5" s="42">
        <f>IF('Revenue Model'!O$27&gt;0,'Revenue Model'!O$30/'Revenue Model'!O$27,0)</f>
        <v>8.703223683682558E-2</v>
      </c>
      <c r="P5" s="42">
        <f>IF('Revenue Model'!P$27&gt;0,'Revenue Model'!P$30/'Revenue Model'!P$27,0)</f>
        <v>7.6234192564266584E-2</v>
      </c>
      <c r="Q5" s="42">
        <f>IF('Revenue Model'!Q$27&gt;0,'Revenue Model'!Q$30/'Revenue Model'!Q$27,0)</f>
        <v>6.9042109597462167E-2</v>
      </c>
      <c r="R5" s="42">
        <f>IF('Revenue Model'!R$27&gt;0,'Revenue Model'!R$30/'Revenue Model'!R$27,0)</f>
        <v>6.4500206095333079E-2</v>
      </c>
      <c r="S5" s="42">
        <f>IF('Revenue Model'!S$27&gt;0,'Revenue Model'!S$30/'Revenue Model'!S$27,0)</f>
        <v>5.1193358699411967E-2</v>
      </c>
      <c r="T5" s="42">
        <f>IF('Revenue Model'!T$27&gt;0,'Revenue Model'!T$30/'Revenue Model'!T$27,0)</f>
        <v>4.6670619133951409E-2</v>
      </c>
      <c r="U5" s="42">
        <f>IF('Revenue Model'!U$27&gt;0,'Revenue Model'!U$30/'Revenue Model'!U$27,0)</f>
        <v>4.6670619133951409E-2</v>
      </c>
      <c r="V5" s="42">
        <f>IF('Revenue Model'!V$27&gt;0,'Revenue Model'!V$30/'Revenue Model'!V$27,0)</f>
        <v>4.3303330596148278E-2</v>
      </c>
      <c r="W5" s="42">
        <f>IF('Revenue Model'!W$27&gt;0,'Revenue Model'!W$30/'Revenue Model'!W$27,0)</f>
        <v>4.1544834307992204E-2</v>
      </c>
      <c r="X5" s="42">
        <f>IF('Revenue Model'!X$27&gt;0,'Revenue Model'!X$30/'Revenue Model'!X$27,0)</f>
        <v>3.6641585795106381E-2</v>
      </c>
      <c r="Y5" s="42">
        <f>IF('Revenue Model'!Y$27&gt;0,'Revenue Model'!Y$30/'Revenue Model'!Y$27,0)</f>
        <v>3.4203531307882902E-2</v>
      </c>
      <c r="Z5" s="42">
        <f>IF('Revenue Model'!Z$27&gt;0,'Revenue Model'!Z$30/'Revenue Model'!Z$27,0)</f>
        <v>3.1975775222297387E-2</v>
      </c>
      <c r="AA5" s="42">
        <f>IF('Revenue Model'!AA$27&gt;0,'Revenue Model'!AA$30/'Revenue Model'!AA$27,0)</f>
        <v>3.1975775222297387E-2</v>
      </c>
      <c r="AB5" s="42">
        <f>IF('Revenue Model'!AB$27&gt;0,'Revenue Model'!AB$30/'Revenue Model'!AB$27,0)</f>
        <v>3.1975775222297387E-2</v>
      </c>
      <c r="AC5" s="42">
        <f>IF('Revenue Model'!AC$27&gt;0,'Revenue Model'!AC$30/'Revenue Model'!AC$27,0)</f>
        <v>2.7555559197083954E-2</v>
      </c>
      <c r="AD5" s="42">
        <f>IF('Revenue Model'!AD$27&gt;0,'Revenue Model'!AD$30/'Revenue Model'!AD$27,0)</f>
        <v>2.7555559197083954E-2</v>
      </c>
      <c r="AE5" s="42">
        <f>IF('Revenue Model'!AE$27&gt;0,'Revenue Model'!AE$30/'Revenue Model'!AE$27,0)</f>
        <v>2.6832831373414613E-2</v>
      </c>
      <c r="AF5" s="42">
        <f>IF('Revenue Model'!AF$27&gt;0,'Revenue Model'!AF$30/'Revenue Model'!AF$27,0)</f>
        <v>2.3286195806686852E-2</v>
      </c>
      <c r="AG5" s="42">
        <f>IF('Revenue Model'!AG$27&gt;0,'Revenue Model'!AG$30/'Revenue Model'!AG$27,0)</f>
        <v>2.3286195806686852E-2</v>
      </c>
      <c r="AH5" s="42">
        <f>IF('Revenue Model'!AH$27&gt;0,'Revenue Model'!AH$30/'Revenue Model'!AH$27,0)</f>
        <v>2.2763032751830361E-2</v>
      </c>
      <c r="AI5" s="42">
        <f>IF('Revenue Model'!AI$27&gt;0,'Revenue Model'!AI$30/'Revenue Model'!AI$27,0)</f>
        <v>2.083657432665853E-2</v>
      </c>
      <c r="AJ5" s="42">
        <f>IF('Revenue Model'!AJ$27&gt;0,'Revenue Model'!AJ$30/'Revenue Model'!AJ$27,0)</f>
        <v>2.0414325720547563E-2</v>
      </c>
      <c r="AK5" s="42">
        <f>IF('Revenue Model'!AK$27&gt;0,'Revenue Model'!AK$30/'Revenue Model'!AK$27,0)</f>
        <v>2.0414325720547563E-2</v>
      </c>
    </row>
    <row r="6" spans="1:37" ht="14.25" customHeight="1" x14ac:dyDescent="0.45">
      <c r="A6" s="164" t="s">
        <v>465</v>
      </c>
      <c r="B6" s="162"/>
      <c r="C6" s="162"/>
      <c r="D6" s="162"/>
      <c r="E6" s="162"/>
      <c r="F6" s="163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</row>
    <row r="7" spans="1:37" ht="14.25" customHeight="1" x14ac:dyDescent="0.45">
      <c r="A7" s="25" t="s">
        <v>295</v>
      </c>
      <c r="B7" s="116" t="s">
        <v>466</v>
      </c>
      <c r="C7" s="116">
        <f>'Model Inputs'!$B$60</f>
        <v>3.4</v>
      </c>
      <c r="D7" s="116">
        <f>'Model Inputs'!$C$60</f>
        <v>2.7</v>
      </c>
      <c r="E7" s="116">
        <f>'Model Inputs'!$D$60</f>
        <v>2.08</v>
      </c>
      <c r="F7" s="116" t="s">
        <v>467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</row>
    <row r="8" spans="1:37" ht="14.25" customHeight="1" x14ac:dyDescent="0.45">
      <c r="A8" s="23" t="s">
        <v>296</v>
      </c>
      <c r="B8" s="107" t="s">
        <v>468</v>
      </c>
      <c r="C8" s="107">
        <f>'Model Inputs'!$B$61</f>
        <v>0.72</v>
      </c>
      <c r="D8" s="107">
        <f>'Model Inputs'!$C$61</f>
        <v>0.47</v>
      </c>
      <c r="E8" s="107">
        <f>'Model Inputs'!$D$61</f>
        <v>0.31</v>
      </c>
      <c r="F8" s="107" t="s">
        <v>469</v>
      </c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</row>
    <row r="9" spans="1:37" ht="14.25" customHeight="1" x14ac:dyDescent="0.45">
      <c r="A9" s="25" t="s">
        <v>297</v>
      </c>
      <c r="B9" s="57" t="s">
        <v>470</v>
      </c>
      <c r="C9" s="57">
        <f>'Model Inputs'!$B$62</f>
        <v>0.12</v>
      </c>
      <c r="D9" s="57">
        <f>'Model Inputs'!$C$62</f>
        <v>0.08</v>
      </c>
      <c r="E9" s="57">
        <f>'Model Inputs'!$D$62</f>
        <v>0.06</v>
      </c>
      <c r="F9" s="57" t="s">
        <v>471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</row>
    <row r="10" spans="1:37" ht="14.25" customHeight="1" x14ac:dyDescent="0.45">
      <c r="A10" s="23" t="s">
        <v>298</v>
      </c>
      <c r="B10" s="107" t="s">
        <v>472</v>
      </c>
      <c r="C10" s="107">
        <f>'Model Inputs'!$B$63</f>
        <v>0.24</v>
      </c>
      <c r="D10" s="107">
        <f>'Model Inputs'!$C$63</f>
        <v>0.18</v>
      </c>
      <c r="E10" s="107">
        <f>'Model Inputs'!$D$63</f>
        <v>0.14000000000000001</v>
      </c>
      <c r="F10" s="107" t="s">
        <v>473</v>
      </c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</row>
    <row r="11" spans="1:37" ht="14.25" customHeight="1" x14ac:dyDescent="0.45">
      <c r="A11" s="25" t="s">
        <v>299</v>
      </c>
      <c r="B11" s="116" t="s">
        <v>474</v>
      </c>
      <c r="C11" s="116">
        <f>'Model Inputs'!$B$64</f>
        <v>0</v>
      </c>
      <c r="D11" s="116">
        <f>'Model Inputs'!$C$64</f>
        <v>0.06</v>
      </c>
      <c r="E11" s="116">
        <f>'Model Inputs'!$D$64</f>
        <v>0.04</v>
      </c>
      <c r="F11" s="116" t="s">
        <v>475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</row>
    <row r="12" spans="1:37" ht="14.25" customHeight="1" x14ac:dyDescent="0.45">
      <c r="A12" s="23" t="s">
        <v>476</v>
      </c>
      <c r="B12" s="107" t="s">
        <v>477</v>
      </c>
      <c r="C12" s="107">
        <f>C5*'Model Inputs'!$B$65</f>
        <v>0</v>
      </c>
      <c r="D12" s="107">
        <f>D5*'Model Inputs'!$C$65</f>
        <v>0</v>
      </c>
      <c r="E12" s="107">
        <f>E5*'Model Inputs'!$D$65</f>
        <v>3.5405709992486858E-3</v>
      </c>
      <c r="F12" s="107" t="s">
        <v>478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</row>
    <row r="13" spans="1:37" ht="14.25" customHeight="1" x14ac:dyDescent="0.45">
      <c r="A13" s="28" t="s">
        <v>479</v>
      </c>
      <c r="B13" s="29" t="s">
        <v>480</v>
      </c>
      <c r="C13" s="29">
        <f>SUM(C7:C12)</f>
        <v>4.4800000000000004</v>
      </c>
      <c r="D13" s="29">
        <f>SUM(D7:D12)</f>
        <v>3.49</v>
      </c>
      <c r="E13" s="29">
        <f>SUM(E7:E12)</f>
        <v>2.6335405709992492</v>
      </c>
      <c r="F13" s="29" t="s">
        <v>481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</row>
    <row r="14" spans="1:37" ht="14.25" customHeight="1" x14ac:dyDescent="0.45">
      <c r="A14" s="164" t="s">
        <v>482</v>
      </c>
      <c r="B14" s="162"/>
      <c r="C14" s="162"/>
      <c r="D14" s="162"/>
      <c r="E14" s="162"/>
      <c r="F14" s="163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</row>
    <row r="15" spans="1:37" ht="14.25" customHeight="1" x14ac:dyDescent="0.45">
      <c r="A15" s="25" t="s">
        <v>483</v>
      </c>
      <c r="B15" s="116" t="s">
        <v>484</v>
      </c>
      <c r="C15" s="116">
        <f t="array" ref="C15">AVERAGE('COGS Analysis'!B12:M12+'COGS Analysis'!B13:M13+'COGS Analysis'!B14:M14+'COGS Analysis'!B16:M16+'COGS Analysis'!B17:M17)</f>
        <v>1125</v>
      </c>
      <c r="D15" s="116">
        <f t="array" ref="D15">AVERAGE('COGS Analysis'!N12:Y12+'COGS Analysis'!N13:Y13+'COGS Analysis'!N14:Y14+'COGS Analysis'!N16:Y16+'COGS Analysis'!N17:Y17)</f>
        <v>3236.75</v>
      </c>
      <c r="E15" s="116">
        <f t="array" ref="E15">AVERAGE('COGS Analysis'!Z12:AK12+'COGS Analysis'!Z13:AK13+'COGS Analysis'!Z14:AK14+'COGS Analysis'!Z16:AK16+'COGS Analysis'!Z17:AK17)</f>
        <v>5589</v>
      </c>
      <c r="F15" s="116" t="s">
        <v>485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</row>
    <row r="16" spans="1:37" ht="14.25" customHeight="1" x14ac:dyDescent="0.45">
      <c r="A16" s="23" t="s">
        <v>486</v>
      </c>
      <c r="B16" s="117">
        <f>'Revenue Model'!B$27</f>
        <v>0</v>
      </c>
      <c r="C16" s="117">
        <f>'Revenue Model'!C$27</f>
        <v>0</v>
      </c>
      <c r="D16" s="117">
        <f>'Revenue Model'!D$27</f>
        <v>0</v>
      </c>
      <c r="E16" s="117">
        <f>'Revenue Model'!E$27</f>
        <v>242</v>
      </c>
      <c r="F16" s="117">
        <f>'Revenue Model'!F$27</f>
        <v>145</v>
      </c>
      <c r="G16" s="111">
        <f>'Revenue Model'!G$27</f>
        <v>218</v>
      </c>
      <c r="H16" s="111">
        <f>'Revenue Model'!H$27</f>
        <v>266</v>
      </c>
      <c r="I16" s="111">
        <f>'Revenue Model'!I$27</f>
        <v>266</v>
      </c>
      <c r="J16" s="111">
        <f>'Revenue Model'!J$27</f>
        <v>286</v>
      </c>
      <c r="K16" s="111">
        <f>'Revenue Model'!K$27</f>
        <v>286</v>
      </c>
      <c r="L16" s="111">
        <f>'Revenue Model'!L$27</f>
        <v>286</v>
      </c>
      <c r="M16" s="111">
        <f>'Revenue Model'!M$27</f>
        <v>286</v>
      </c>
      <c r="N16" s="111">
        <f>'Revenue Model'!N$27</f>
        <v>328</v>
      </c>
      <c r="O16" s="111">
        <f>'Revenue Model'!O$27</f>
        <v>353</v>
      </c>
      <c r="P16" s="111">
        <f>'Revenue Model'!P$27</f>
        <v>403</v>
      </c>
      <c r="Q16" s="111">
        <f>'Revenue Model'!Q$27</f>
        <v>441</v>
      </c>
      <c r="R16" s="111">
        <f>'Revenue Model'!R$27</f>
        <v>469</v>
      </c>
      <c r="S16" s="111">
        <f>'Revenue Model'!S$27</f>
        <v>590</v>
      </c>
      <c r="T16" s="111">
        <f>'Revenue Model'!T$27</f>
        <v>643</v>
      </c>
      <c r="U16" s="111">
        <f>'Revenue Model'!U$27</f>
        <v>643</v>
      </c>
      <c r="V16" s="111">
        <f>'Revenue Model'!V$27</f>
        <v>693</v>
      </c>
      <c r="W16" s="111">
        <f>'Revenue Model'!W$27</f>
        <v>720</v>
      </c>
      <c r="X16" s="111">
        <f>'Revenue Model'!X$27</f>
        <v>828</v>
      </c>
      <c r="Y16" s="111">
        <f>'Revenue Model'!Y$27</f>
        <v>894</v>
      </c>
      <c r="Z16" s="111">
        <f>'Revenue Model'!Z$27</f>
        <v>968</v>
      </c>
      <c r="AA16" s="111">
        <f>'Revenue Model'!AA$27</f>
        <v>968</v>
      </c>
      <c r="AB16" s="111">
        <f>'Revenue Model'!AB$27</f>
        <v>968</v>
      </c>
      <c r="AC16" s="111">
        <f>'Revenue Model'!AC$27</f>
        <v>1121</v>
      </c>
      <c r="AD16" s="111">
        <f>'Revenue Model'!AD$27</f>
        <v>1121</v>
      </c>
      <c r="AE16" s="111">
        <f>'Revenue Model'!AE$27</f>
        <v>1149</v>
      </c>
      <c r="AF16" s="111">
        <f>'Revenue Model'!AF$27</f>
        <v>1324</v>
      </c>
      <c r="AG16" s="111">
        <f>'Revenue Model'!AG$27</f>
        <v>1324</v>
      </c>
      <c r="AH16" s="111">
        <f>'Revenue Model'!AH$27</f>
        <v>1352</v>
      </c>
      <c r="AI16" s="111">
        <f>'Revenue Model'!AI$27</f>
        <v>1477</v>
      </c>
      <c r="AJ16" s="111">
        <f>'Revenue Model'!AJ$27</f>
        <v>1505</v>
      </c>
      <c r="AK16" s="111">
        <f>'Revenue Model'!AK$27</f>
        <v>1505</v>
      </c>
    </row>
    <row r="17" spans="1:37" ht="14.25" customHeight="1" x14ac:dyDescent="0.45">
      <c r="A17" s="25" t="s">
        <v>487</v>
      </c>
      <c r="B17" s="106" t="s">
        <v>488</v>
      </c>
      <c r="C17" s="106">
        <f>IF(C16&gt;0,C15/C16,0)</f>
        <v>0</v>
      </c>
      <c r="D17" s="106">
        <f>IF(D16&gt;0,D15/D16,0)</f>
        <v>0</v>
      </c>
      <c r="E17" s="106">
        <f>IF(E16&gt;0,E15/E16,0)</f>
        <v>23.095041322314049</v>
      </c>
      <c r="F17" s="106" t="s">
        <v>489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</row>
    <row r="18" spans="1:37" ht="14.25" customHeight="1" x14ac:dyDescent="0.45">
      <c r="A18" s="165" t="s">
        <v>490</v>
      </c>
      <c r="B18" s="166"/>
      <c r="C18" s="166"/>
      <c r="D18" s="166"/>
      <c r="E18" s="166"/>
      <c r="F18" s="167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</row>
    <row r="19" spans="1:37" ht="14.25" customHeight="1" x14ac:dyDescent="0.45">
      <c r="A19" s="28" t="s">
        <v>491</v>
      </c>
      <c r="B19" s="58" t="s">
        <v>492</v>
      </c>
      <c r="C19" s="58">
        <f>C13+C17</f>
        <v>4.4800000000000004</v>
      </c>
      <c r="D19" s="58">
        <f>D13+D17</f>
        <v>3.49</v>
      </c>
      <c r="E19" s="58">
        <f>E13+E17</f>
        <v>25.728581893313297</v>
      </c>
      <c r="F19" s="58" t="s">
        <v>493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 spans="1:37" ht="14.25" customHeight="1" x14ac:dyDescent="0.45">
      <c r="A20" s="28" t="s">
        <v>494</v>
      </c>
      <c r="B20" s="29" t="s">
        <v>495</v>
      </c>
      <c r="C20" s="29">
        <f>C5-C19</f>
        <v>-4.4800000000000004</v>
      </c>
      <c r="D20" s="29">
        <f>D5-D19</f>
        <v>-3.49</v>
      </c>
      <c r="E20" s="29">
        <f>E5-E19</f>
        <v>-25.606493238166792</v>
      </c>
      <c r="F20" s="29" t="s">
        <v>496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</row>
    <row r="21" spans="1:37" ht="14.25" customHeight="1" x14ac:dyDescent="0.45">
      <c r="A21" s="28" t="s">
        <v>46</v>
      </c>
      <c r="B21" s="30" t="s">
        <v>497</v>
      </c>
      <c r="C21" s="30">
        <f>IF(C5&gt;0,C20/C5,0)</f>
        <v>0</v>
      </c>
      <c r="D21" s="30">
        <f>IF(D5&gt;0,D20/D5,0)</f>
        <v>0</v>
      </c>
      <c r="E21" s="30">
        <f>IF(E5&gt;0,E20/E5,0)</f>
        <v>-209.73687692307689</v>
      </c>
      <c r="F21" s="30" t="s">
        <v>498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</row>
    <row r="22" spans="1:37" ht="14.25" customHeight="1" x14ac:dyDescent="0.45">
      <c r="A22" s="164" t="s">
        <v>499</v>
      </c>
      <c r="B22" s="162"/>
      <c r="C22" s="162"/>
      <c r="D22" s="162"/>
      <c r="E22" s="162"/>
      <c r="F22" s="163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</row>
    <row r="23" spans="1:37" ht="14.25" customHeight="1" x14ac:dyDescent="0.45">
      <c r="A23" s="25" t="s">
        <v>500</v>
      </c>
      <c r="B23" s="106">
        <f>IF('Revenue Model'!B$34&gt;0,'Revenue Model'!B$27/'Revenue Model'!B$34,0)</f>
        <v>0</v>
      </c>
      <c r="C23" s="106">
        <f>IF('Revenue Model'!C$34&gt;0,'Revenue Model'!C$27/'Revenue Model'!C$34,0)</f>
        <v>0</v>
      </c>
      <c r="D23" s="106">
        <f>IF('Revenue Model'!D$34&gt;0,'Revenue Model'!D$27/'Revenue Model'!D$34,0)</f>
        <v>0</v>
      </c>
      <c r="E23" s="106">
        <f>IF('Revenue Model'!E$34&gt;0,'Revenue Model'!E$27/'Revenue Model'!E$34,0)</f>
        <v>7.806451612903226</v>
      </c>
      <c r="F23" s="106">
        <f>IF('Revenue Model'!F$34&gt;0,'Revenue Model'!F$27/'Revenue Model'!F$34,0)</f>
        <v>8.0555555555555554</v>
      </c>
      <c r="G23" s="62">
        <f>IF('Revenue Model'!G$34&gt;0,'Revenue Model'!G$27/'Revenue Model'!G$34,0)</f>
        <v>8.7200000000000006</v>
      </c>
      <c r="H23" s="62">
        <f>IF('Revenue Model'!H$34&gt;0,'Revenue Model'!H$27/'Revenue Model'!H$34,0)</f>
        <v>9.1724137931034484</v>
      </c>
      <c r="I23" s="62">
        <f>IF('Revenue Model'!I$34&gt;0,'Revenue Model'!I$27/'Revenue Model'!I$34,0)</f>
        <v>9.5</v>
      </c>
      <c r="J23" s="62">
        <f>IF('Revenue Model'!J$34&gt;0,'Revenue Model'!J$27/'Revenue Model'!J$34,0)</f>
        <v>10.214285714285714</v>
      </c>
      <c r="K23" s="62">
        <f>IF('Revenue Model'!K$34&gt;0,'Revenue Model'!K$27/'Revenue Model'!K$34,0)</f>
        <v>10.592592592592593</v>
      </c>
      <c r="L23" s="62">
        <f>IF('Revenue Model'!L$34&gt;0,'Revenue Model'!L$27/'Revenue Model'!L$34,0)</f>
        <v>11</v>
      </c>
      <c r="M23" s="62">
        <f>IF('Revenue Model'!M$34&gt;0,'Revenue Model'!M$27/'Revenue Model'!M$34,0)</f>
        <v>11</v>
      </c>
      <c r="N23" s="62">
        <f>IF('Revenue Model'!N$34&gt;0,'Revenue Model'!N$27/'Revenue Model'!N$34,0)</f>
        <v>12.148148148148149</v>
      </c>
      <c r="O23" s="62">
        <f>IF('Revenue Model'!O$34&gt;0,'Revenue Model'!O$27/'Revenue Model'!O$34,0)</f>
        <v>12.607142857142858</v>
      </c>
      <c r="P23" s="62">
        <f>IF('Revenue Model'!P$34&gt;0,'Revenue Model'!P$27/'Revenue Model'!P$34,0)</f>
        <v>14.392857142857142</v>
      </c>
      <c r="Q23" s="62">
        <f>IF('Revenue Model'!Q$34&gt;0,'Revenue Model'!Q$27/'Revenue Model'!Q$34,0)</f>
        <v>14.225806451612904</v>
      </c>
      <c r="R23" s="62">
        <f>IF('Revenue Model'!R$34&gt;0,'Revenue Model'!R$27/'Revenue Model'!R$34,0)</f>
        <v>14.212121212121213</v>
      </c>
      <c r="S23" s="62">
        <f>IF('Revenue Model'!S$34&gt;0,'Revenue Model'!S$27/'Revenue Model'!S$34,0)</f>
        <v>15.128205128205128</v>
      </c>
      <c r="T23" s="62">
        <f>IF('Revenue Model'!T$34&gt;0,'Revenue Model'!T$27/'Revenue Model'!T$34,0)</f>
        <v>15.30952380952381</v>
      </c>
      <c r="U23" s="62">
        <f>IF('Revenue Model'!U$34&gt;0,'Revenue Model'!U$27/'Revenue Model'!U$34,0)</f>
        <v>15.682926829268293</v>
      </c>
      <c r="V23" s="62">
        <f>IF('Revenue Model'!V$34&gt;0,'Revenue Model'!V$27/'Revenue Model'!V$34,0)</f>
        <v>16.902439024390244</v>
      </c>
      <c r="W23" s="62">
        <f>IF('Revenue Model'!W$34&gt;0,'Revenue Model'!W$27/'Revenue Model'!W$34,0)</f>
        <v>17.142857142857142</v>
      </c>
      <c r="X23" s="62">
        <f>IF('Revenue Model'!X$34&gt;0,'Revenue Model'!X$27/'Revenue Model'!X$34,0)</f>
        <v>17.25</v>
      </c>
      <c r="Y23" s="62">
        <f>IF('Revenue Model'!Y$34&gt;0,'Revenue Model'!Y$27/'Revenue Model'!Y$34,0)</f>
        <v>17.192307692307693</v>
      </c>
      <c r="Z23" s="62">
        <f>IF('Revenue Model'!Z$34&gt;0,'Revenue Model'!Z$27/'Revenue Model'!Z$34,0)</f>
        <v>18.980392156862745</v>
      </c>
      <c r="AA23" s="62">
        <f>IF('Revenue Model'!AA$34&gt;0,'Revenue Model'!AA$27/'Revenue Model'!AA$34,0)</f>
        <v>19.36</v>
      </c>
      <c r="AB23" s="62">
        <f>IF('Revenue Model'!AB$34&gt;0,'Revenue Model'!AB$27/'Revenue Model'!AB$34,0)</f>
        <v>19.755102040816325</v>
      </c>
      <c r="AC23" s="62">
        <f>IF('Revenue Model'!AC$34&gt;0,'Revenue Model'!AC$27/'Revenue Model'!AC$34,0)</f>
        <v>21.557692307692307</v>
      </c>
      <c r="AD23" s="62">
        <f>IF('Revenue Model'!AD$34&gt;0,'Revenue Model'!AD$27/'Revenue Model'!AD$34,0)</f>
        <v>21.980392156862745</v>
      </c>
      <c r="AE23" s="62">
        <f>IF('Revenue Model'!AE$34&gt;0,'Revenue Model'!AE$27/'Revenue Model'!AE$34,0)</f>
        <v>22.096153846153847</v>
      </c>
      <c r="AF23" s="62">
        <f>IF('Revenue Model'!AF$34&gt;0,'Revenue Model'!AF$27/'Revenue Model'!AF$34,0)</f>
        <v>24.981132075471699</v>
      </c>
      <c r="AG23" s="62">
        <f>IF('Revenue Model'!AG$34&gt;0,'Revenue Model'!AG$27/'Revenue Model'!AG$34,0)</f>
        <v>24.981132075471699</v>
      </c>
      <c r="AH23" s="62">
        <f>IF('Revenue Model'!AH$34&gt;0,'Revenue Model'!AH$27/'Revenue Model'!AH$34,0)</f>
        <v>25.509433962264151</v>
      </c>
      <c r="AI23" s="62">
        <f>IF('Revenue Model'!AI$34&gt;0,'Revenue Model'!AI$27/'Revenue Model'!AI$34,0)</f>
        <v>27.351851851851851</v>
      </c>
      <c r="AJ23" s="62">
        <f>IF('Revenue Model'!AJ$34&gt;0,'Revenue Model'!AJ$27/'Revenue Model'!AJ$34,0)</f>
        <v>27.363636363636363</v>
      </c>
      <c r="AK23" s="62">
        <f>IF('Revenue Model'!AK$34&gt;0,'Revenue Model'!AK$27/'Revenue Model'!AK$34,0)</f>
        <v>27.87037037037037</v>
      </c>
    </row>
    <row r="24" spans="1:37" ht="14.25" customHeight="1" x14ac:dyDescent="0.45">
      <c r="A24" s="23" t="s">
        <v>501</v>
      </c>
      <c r="B24" s="107" t="s">
        <v>502</v>
      </c>
      <c r="C24" s="107">
        <f>IF(SUM('Revenue Model'!B33:M33)&gt;0,SUM('Operating Expenses'!B22:M22)/SUM('Revenue Model'!B33:M33),0)</f>
        <v>0</v>
      </c>
      <c r="D24" s="107">
        <f>IF(SUM('Revenue Model'!N33:Y33)&gt;0,SUM('Operating Expenses'!N22:Y22)/SUM('Revenue Model'!N33:Y33),0)</f>
        <v>0</v>
      </c>
      <c r="E24" s="107">
        <f>IF(SUM('Revenue Model'!Z33:AK33)&gt;0,SUM('Operating Expenses'!Z22:AK22)/SUM('Revenue Model'!Z33:AK33),0)</f>
        <v>0</v>
      </c>
      <c r="F24" s="107" t="s">
        <v>503</v>
      </c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</row>
    <row r="25" spans="1:37" ht="14.25" customHeight="1" x14ac:dyDescent="0.45">
      <c r="A25" s="25" t="s">
        <v>504</v>
      </c>
      <c r="B25" s="106" t="s">
        <v>505</v>
      </c>
      <c r="C25" s="106">
        <f>C20*C23</f>
        <v>0</v>
      </c>
      <c r="D25" s="106">
        <f>D20*D23</f>
        <v>0</v>
      </c>
      <c r="E25" s="106">
        <f>E20*E23</f>
        <v>-199.89585043988271</v>
      </c>
      <c r="F25" s="106" t="s">
        <v>506</v>
      </c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</row>
    <row r="26" spans="1:37" ht="14.25" customHeight="1" x14ac:dyDescent="0.45">
      <c r="A26" s="23" t="s">
        <v>507</v>
      </c>
      <c r="B26" s="107" t="s">
        <v>508</v>
      </c>
      <c r="C26" s="107">
        <f>MIN(1/'Model Inputs'!$B$53,60)</f>
        <v>60</v>
      </c>
      <c r="D26" s="107">
        <f>MIN(1/'Model Inputs'!$C$53,60)</f>
        <v>57.142857142857139</v>
      </c>
      <c r="E26" s="107">
        <f>MIN(1/'Model Inputs'!$D$53,60)</f>
        <v>60</v>
      </c>
      <c r="F26" s="107" t="s">
        <v>509</v>
      </c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</row>
    <row r="27" spans="1:37" ht="14.25" customHeight="1" x14ac:dyDescent="0.45">
      <c r="A27" s="25" t="s">
        <v>510</v>
      </c>
      <c r="B27" s="106" t="s">
        <v>511</v>
      </c>
      <c r="C27" s="106">
        <f>C25*C26</f>
        <v>0</v>
      </c>
      <c r="D27" s="106">
        <f>D25*D26</f>
        <v>0</v>
      </c>
      <c r="E27" s="106">
        <f>E25*E26</f>
        <v>-11993.751026392962</v>
      </c>
      <c r="F27" s="106" t="s">
        <v>512</v>
      </c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</row>
    <row r="28" spans="1:37" ht="14.25" customHeight="1" x14ac:dyDescent="0.45">
      <c r="A28" s="23" t="s">
        <v>513</v>
      </c>
      <c r="B28" s="118" t="s">
        <v>514</v>
      </c>
      <c r="C28" s="118">
        <f>IF(C24&gt;0,C27/C24,0)</f>
        <v>0</v>
      </c>
      <c r="D28" s="118">
        <f>IF(D24&gt;0,D27/D24,0)</f>
        <v>0</v>
      </c>
      <c r="E28" s="118">
        <f>IF(E24&gt;0,E27/E24,0)</f>
        <v>0</v>
      </c>
      <c r="F28" s="118" t="s">
        <v>515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</row>
    <row r="29" spans="1:37" ht="14.25" customHeight="1" x14ac:dyDescent="0.45">
      <c r="A29" s="25" t="s">
        <v>516</v>
      </c>
      <c r="B29" s="68" t="s">
        <v>517</v>
      </c>
      <c r="C29" s="68">
        <f>IF(C25&gt;0,C24/C25,0)</f>
        <v>0</v>
      </c>
      <c r="D29" s="68">
        <f>IF(D25&gt;0,D24/D25,0)</f>
        <v>0</v>
      </c>
      <c r="E29" s="68">
        <f>IF(E25&gt;0,E24/E25,0)</f>
        <v>0</v>
      </c>
      <c r="F29" s="68" t="s">
        <v>518</v>
      </c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</row>
  </sheetData>
  <mergeCells count="6">
    <mergeCell ref="A14:F14"/>
    <mergeCell ref="A1:F1"/>
    <mergeCell ref="A6:F6"/>
    <mergeCell ref="A22:F22"/>
    <mergeCell ref="A18:F18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zoomScaleNormal="100" workbookViewId="0">
      <selection sqref="A1:E1"/>
    </sheetView>
  </sheetViews>
  <sheetFormatPr defaultColWidth="8.6640625" defaultRowHeight="14.25" x14ac:dyDescent="0.45"/>
  <cols>
    <col min="1" max="1" width="32" customWidth="1"/>
    <col min="2" max="2" width="14" customWidth="1"/>
    <col min="3" max="3" width="16" customWidth="1"/>
    <col min="4" max="4" width="12" customWidth="1"/>
    <col min="5" max="5" width="26" customWidth="1"/>
  </cols>
  <sheetData>
    <row r="1" spans="1:5" ht="24.75" customHeight="1" x14ac:dyDescent="0.45">
      <c r="A1" s="168" t="s">
        <v>519</v>
      </c>
      <c r="B1" s="169"/>
      <c r="C1" s="169"/>
      <c r="D1" s="169"/>
      <c r="E1" s="169"/>
    </row>
    <row r="2" spans="1:5" x14ac:dyDescent="0.45">
      <c r="A2" s="18"/>
      <c r="B2" s="18"/>
      <c r="C2" s="18"/>
      <c r="D2" s="18"/>
      <c r="E2" s="18"/>
    </row>
    <row r="3" spans="1:5" ht="14.25" customHeight="1" x14ac:dyDescent="0.45">
      <c r="A3" s="61" t="s">
        <v>520</v>
      </c>
      <c r="B3" s="119" t="s">
        <v>521</v>
      </c>
      <c r="C3" s="119" t="s">
        <v>522</v>
      </c>
      <c r="D3" s="119" t="s">
        <v>276</v>
      </c>
      <c r="E3" s="62"/>
    </row>
    <row r="4" spans="1:5" ht="14.25" customHeight="1" x14ac:dyDescent="0.45">
      <c r="A4" s="37" t="s">
        <v>523</v>
      </c>
      <c r="B4" s="38">
        <v>0.98719999999999997</v>
      </c>
      <c r="C4" s="38">
        <v>0.84589999999999999</v>
      </c>
      <c r="D4" s="111" t="s">
        <v>524</v>
      </c>
      <c r="E4" s="111"/>
    </row>
    <row r="5" spans="1:5" ht="14.25" customHeight="1" x14ac:dyDescent="0.45">
      <c r="A5" s="39" t="s">
        <v>525</v>
      </c>
      <c r="B5" s="91">
        <v>1.2800000000000001E-2</v>
      </c>
      <c r="C5" s="91">
        <v>1.0999999999999999E-2</v>
      </c>
      <c r="D5" s="120" t="s">
        <v>526</v>
      </c>
      <c r="E5" s="120"/>
    </row>
    <row r="6" spans="1:5" ht="14.25" customHeight="1" x14ac:dyDescent="0.45">
      <c r="A6" s="35" t="s">
        <v>527</v>
      </c>
      <c r="B6" s="121">
        <v>1</v>
      </c>
      <c r="C6" s="121">
        <f>C4+C5</f>
        <v>0.8569</v>
      </c>
      <c r="D6" s="122" t="s">
        <v>423</v>
      </c>
      <c r="E6" s="122"/>
    </row>
    <row r="7" spans="1:5" ht="14.25" customHeight="1" x14ac:dyDescent="0.45">
      <c r="A7" s="39" t="s">
        <v>528</v>
      </c>
      <c r="B7" s="123" t="s">
        <v>423</v>
      </c>
      <c r="C7" s="91">
        <v>6.25E-2</v>
      </c>
      <c r="D7" s="120" t="s">
        <v>529</v>
      </c>
      <c r="E7" s="120"/>
    </row>
    <row r="8" spans="1:5" ht="14.25" customHeight="1" x14ac:dyDescent="0.45">
      <c r="A8" s="37" t="s">
        <v>530</v>
      </c>
      <c r="B8" s="124" t="s">
        <v>423</v>
      </c>
      <c r="C8" s="38">
        <v>5.5599999999999997E-2</v>
      </c>
      <c r="D8" s="111" t="s">
        <v>531</v>
      </c>
      <c r="E8" s="111"/>
    </row>
    <row r="9" spans="1:5" ht="14.25" customHeight="1" x14ac:dyDescent="0.45">
      <c r="A9" s="39" t="s">
        <v>532</v>
      </c>
      <c r="B9" s="123" t="s">
        <v>423</v>
      </c>
      <c r="C9" s="91">
        <v>2.5000000000000001E-2</v>
      </c>
      <c r="D9" s="120" t="s">
        <v>533</v>
      </c>
      <c r="E9" s="120"/>
    </row>
    <row r="10" spans="1:5" ht="14.25" customHeight="1" x14ac:dyDescent="0.45">
      <c r="A10" s="35" t="s">
        <v>534</v>
      </c>
      <c r="B10" s="121" t="s">
        <v>423</v>
      </c>
      <c r="C10" s="121">
        <v>0.1431</v>
      </c>
      <c r="D10" s="122" t="s">
        <v>535</v>
      </c>
      <c r="E10" s="122"/>
    </row>
    <row r="11" spans="1:5" ht="14.25" customHeight="1" x14ac:dyDescent="0.45">
      <c r="A11" s="18"/>
      <c r="B11" s="125"/>
      <c r="C11" s="125"/>
      <c r="D11" s="31"/>
      <c r="E11" s="31"/>
    </row>
    <row r="12" spans="1:5" ht="14.25" customHeight="1" x14ac:dyDescent="0.45">
      <c r="A12" s="18"/>
      <c r="B12" s="125"/>
      <c r="C12" s="125"/>
      <c r="D12" s="31"/>
      <c r="E12" s="31"/>
    </row>
    <row r="13" spans="1:5" ht="14.25" customHeight="1" x14ac:dyDescent="0.45">
      <c r="A13" s="25" t="s">
        <v>536</v>
      </c>
      <c r="B13" s="62"/>
      <c r="C13" s="62"/>
      <c r="D13" s="62"/>
      <c r="E13" s="62"/>
    </row>
    <row r="14" spans="1:5" ht="14.25" customHeight="1" x14ac:dyDescent="0.45">
      <c r="A14" s="170" t="s">
        <v>205</v>
      </c>
      <c r="B14" s="162"/>
      <c r="C14" s="162"/>
      <c r="D14" s="162"/>
      <c r="E14" s="163"/>
    </row>
    <row r="15" spans="1:5" ht="14.25" customHeight="1" x14ac:dyDescent="0.45">
      <c r="A15" s="25" t="s">
        <v>537</v>
      </c>
      <c r="B15" s="74">
        <v>1000000</v>
      </c>
      <c r="C15" s="74">
        <v>16000000</v>
      </c>
      <c r="D15" s="26">
        <v>6.25E-2</v>
      </c>
      <c r="E15" s="68" t="s">
        <v>529</v>
      </c>
    </row>
    <row r="16" spans="1:5" ht="14.25" customHeight="1" x14ac:dyDescent="0.45">
      <c r="A16" s="23" t="s">
        <v>538</v>
      </c>
      <c r="B16" s="34">
        <v>1000000</v>
      </c>
      <c r="C16" s="34">
        <v>18000000</v>
      </c>
      <c r="D16" s="24">
        <v>5.5599999999999997E-2</v>
      </c>
      <c r="E16" s="103" t="s">
        <v>531</v>
      </c>
    </row>
    <row r="17" spans="1:5" ht="14.25" customHeight="1" x14ac:dyDescent="0.45">
      <c r="A17" s="25" t="s">
        <v>539</v>
      </c>
      <c r="B17" s="74">
        <v>500000</v>
      </c>
      <c r="C17" s="74">
        <v>20000000</v>
      </c>
      <c r="D17" s="26">
        <v>2.5000000000000001E-2</v>
      </c>
      <c r="E17" s="68" t="s">
        <v>533</v>
      </c>
    </row>
    <row r="18" spans="1:5" ht="14.25" customHeight="1" x14ac:dyDescent="0.45">
      <c r="A18" s="35" t="s">
        <v>540</v>
      </c>
      <c r="B18" s="121">
        <v>2500000</v>
      </c>
      <c r="C18" s="121" t="s">
        <v>541</v>
      </c>
      <c r="D18" s="122">
        <v>0.1431</v>
      </c>
      <c r="E18" s="122" t="s">
        <v>423</v>
      </c>
    </row>
  </sheetData>
  <mergeCells count="2">
    <mergeCell ref="A1:E1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zoomScaleNormal="100" workbookViewId="0">
      <selection sqref="A1:E1"/>
    </sheetView>
  </sheetViews>
  <sheetFormatPr defaultColWidth="8.6640625" defaultRowHeight="14.25" x14ac:dyDescent="0.45"/>
  <cols>
    <col min="1" max="1" width="25" customWidth="1"/>
    <col min="2" max="5" width="18" customWidth="1"/>
  </cols>
  <sheetData>
    <row r="1" spans="1:5" ht="24.75" customHeight="1" x14ac:dyDescent="0.45">
      <c r="A1" s="160" t="s">
        <v>542</v>
      </c>
      <c r="B1" s="158"/>
      <c r="C1" s="158"/>
      <c r="D1" s="158"/>
      <c r="E1" s="159"/>
    </row>
    <row r="2" spans="1:5" x14ac:dyDescent="0.45">
      <c r="A2" s="18"/>
      <c r="B2" s="18"/>
      <c r="C2" s="18"/>
      <c r="D2" s="18"/>
      <c r="E2" s="18"/>
    </row>
    <row r="3" spans="1:5" ht="14.25" customHeight="1" x14ac:dyDescent="0.45">
      <c r="A3" s="19" t="s">
        <v>314</v>
      </c>
      <c r="B3" s="19" t="s">
        <v>543</v>
      </c>
      <c r="C3" s="19" t="s">
        <v>544</v>
      </c>
      <c r="D3" s="19" t="s">
        <v>545</v>
      </c>
      <c r="E3" s="114"/>
    </row>
    <row r="4" spans="1:5" ht="14.25" customHeight="1" x14ac:dyDescent="0.45">
      <c r="A4" s="23" t="s">
        <v>546</v>
      </c>
      <c r="B4" s="108">
        <v>600000</v>
      </c>
      <c r="C4" s="108">
        <v>0.24</v>
      </c>
      <c r="D4" s="107" t="s">
        <v>547</v>
      </c>
      <c r="E4" s="107"/>
    </row>
    <row r="5" spans="1:5" ht="14.25" customHeight="1" x14ac:dyDescent="0.45">
      <c r="A5" s="25" t="s">
        <v>548</v>
      </c>
      <c r="B5" s="27">
        <v>500000</v>
      </c>
      <c r="C5" s="27">
        <v>0.2</v>
      </c>
      <c r="D5" s="106" t="s">
        <v>549</v>
      </c>
      <c r="E5" s="106"/>
    </row>
    <row r="6" spans="1:5" ht="14.25" customHeight="1" x14ac:dyDescent="0.45">
      <c r="A6" s="23" t="s">
        <v>550</v>
      </c>
      <c r="B6" s="108">
        <v>400000</v>
      </c>
      <c r="C6" s="108">
        <v>0.16</v>
      </c>
      <c r="D6" s="107" t="s">
        <v>551</v>
      </c>
      <c r="E6" s="107"/>
    </row>
    <row r="7" spans="1:5" ht="14.25" customHeight="1" x14ac:dyDescent="0.45">
      <c r="A7" s="25" t="s">
        <v>552</v>
      </c>
      <c r="B7" s="27">
        <v>250000</v>
      </c>
      <c r="C7" s="27">
        <v>0.1</v>
      </c>
      <c r="D7" s="106" t="s">
        <v>553</v>
      </c>
      <c r="E7" s="106"/>
    </row>
    <row r="8" spans="1:5" ht="14.25" customHeight="1" x14ac:dyDescent="0.45">
      <c r="A8" s="23" t="s">
        <v>554</v>
      </c>
      <c r="B8" s="108">
        <v>750000</v>
      </c>
      <c r="C8" s="108">
        <v>0.3</v>
      </c>
      <c r="D8" s="107" t="s">
        <v>555</v>
      </c>
      <c r="E8" s="107"/>
    </row>
    <row r="9" spans="1:5" ht="14.25" customHeight="1" x14ac:dyDescent="0.45">
      <c r="A9" s="28" t="s">
        <v>556</v>
      </c>
      <c r="B9" s="29">
        <v>2500000</v>
      </c>
      <c r="C9" s="29">
        <v>1</v>
      </c>
      <c r="D9" s="29" t="s">
        <v>557</v>
      </c>
      <c r="E9" s="29"/>
    </row>
    <row r="10" spans="1:5" ht="14.25" customHeight="1" x14ac:dyDescent="0.45">
      <c r="A10" s="18"/>
      <c r="B10" s="43"/>
      <c r="C10" s="43"/>
      <c r="D10" s="43"/>
      <c r="E10" s="43"/>
    </row>
    <row r="11" spans="1:5" ht="14.25" customHeight="1" x14ac:dyDescent="0.45">
      <c r="A11" s="18"/>
      <c r="B11" s="43"/>
      <c r="C11" s="43"/>
      <c r="D11" s="43"/>
      <c r="E11" s="43"/>
    </row>
    <row r="12" spans="1:5" ht="14.25" customHeight="1" x14ac:dyDescent="0.45">
      <c r="A12" s="164" t="s">
        <v>558</v>
      </c>
      <c r="B12" s="162"/>
      <c r="C12" s="162"/>
      <c r="D12" s="162"/>
      <c r="E12" s="163"/>
    </row>
    <row r="13" spans="1:5" ht="14.25" customHeight="1" x14ac:dyDescent="0.45">
      <c r="A13" s="61" t="s">
        <v>559</v>
      </c>
      <c r="B13" s="116" t="s">
        <v>560</v>
      </c>
      <c r="C13" s="116" t="s">
        <v>561</v>
      </c>
      <c r="D13" s="116" t="s">
        <v>562</v>
      </c>
      <c r="E13" s="116"/>
    </row>
    <row r="14" spans="1:5" ht="14.25" customHeight="1" x14ac:dyDescent="0.45">
      <c r="A14" s="23" t="s">
        <v>563</v>
      </c>
      <c r="B14" s="107" t="s">
        <v>564</v>
      </c>
      <c r="C14" s="108">
        <v>3</v>
      </c>
      <c r="D14" s="107" t="s">
        <v>565</v>
      </c>
      <c r="E14" s="107"/>
    </row>
    <row r="15" spans="1:5" ht="14.25" customHeight="1" x14ac:dyDescent="0.45">
      <c r="A15" s="25" t="s">
        <v>566</v>
      </c>
      <c r="B15" s="106" t="s">
        <v>567</v>
      </c>
      <c r="C15" s="27">
        <v>4</v>
      </c>
      <c r="D15" s="106" t="s">
        <v>568</v>
      </c>
      <c r="E15" s="106"/>
    </row>
    <row r="16" spans="1:5" ht="14.25" customHeight="1" x14ac:dyDescent="0.45">
      <c r="A16" s="23" t="s">
        <v>569</v>
      </c>
      <c r="B16" s="107" t="s">
        <v>570</v>
      </c>
      <c r="C16" s="108">
        <v>6</v>
      </c>
      <c r="D16" s="107" t="s">
        <v>571</v>
      </c>
      <c r="E16" s="107"/>
    </row>
    <row r="17" spans="1:5" ht="14.25" customHeight="1" x14ac:dyDescent="0.45">
      <c r="A17" s="25" t="s">
        <v>572</v>
      </c>
      <c r="B17" s="106" t="s">
        <v>573</v>
      </c>
      <c r="C17" s="27">
        <v>7</v>
      </c>
      <c r="D17" s="106" t="s">
        <v>574</v>
      </c>
      <c r="E17" s="106"/>
    </row>
    <row r="18" spans="1:5" ht="14.25" customHeight="1" x14ac:dyDescent="0.45">
      <c r="A18" s="23" t="s">
        <v>575</v>
      </c>
      <c r="B18" s="117" t="s">
        <v>576</v>
      </c>
      <c r="C18" s="108">
        <v>7</v>
      </c>
      <c r="D18" s="117" t="s">
        <v>577</v>
      </c>
      <c r="E18" s="117"/>
    </row>
  </sheetData>
  <mergeCells count="2">
    <mergeCell ref="A1:E1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232"/>
  <sheetViews>
    <sheetView tabSelected="1" topLeftCell="A94" zoomScaleNormal="100" workbookViewId="0">
      <selection activeCell="C9" sqref="C9"/>
    </sheetView>
  </sheetViews>
  <sheetFormatPr defaultColWidth="8.6640625" defaultRowHeight="14.25" x14ac:dyDescent="0.45"/>
  <cols>
    <col min="1" max="1" width="30" customWidth="1"/>
    <col min="2" max="4" width="15" customWidth="1"/>
    <col min="5" max="5" width="20" customWidth="1"/>
    <col min="6" max="41" width="8" customWidth="1"/>
  </cols>
  <sheetData>
    <row r="1" spans="1:37" ht="24.75" customHeight="1" x14ac:dyDescent="0.5">
      <c r="A1" s="17" t="s">
        <v>578</v>
      </c>
      <c r="B1" s="17"/>
      <c r="C1" s="17"/>
      <c r="D1" s="17"/>
      <c r="E1" s="17"/>
      <c r="F1" s="59"/>
      <c r="G1" s="59"/>
      <c r="H1" s="59"/>
      <c r="I1" s="59"/>
    </row>
    <row r="2" spans="1:37" x14ac:dyDescent="0.45">
      <c r="A2" s="18"/>
      <c r="B2" s="18"/>
      <c r="C2" s="18"/>
      <c r="D2" s="18"/>
      <c r="E2" s="18"/>
      <c r="F2" s="18"/>
      <c r="G2" s="18"/>
      <c r="H2" s="18"/>
      <c r="I2" s="18"/>
    </row>
    <row r="3" spans="1:37" ht="14.25" customHeight="1" x14ac:dyDescent="0.45">
      <c r="A3" s="60" t="s">
        <v>579</v>
      </c>
      <c r="B3" s="33"/>
      <c r="C3" s="33"/>
      <c r="D3" s="33"/>
      <c r="E3" s="33"/>
      <c r="F3" s="42"/>
      <c r="G3" s="42"/>
      <c r="H3" s="42"/>
      <c r="I3" s="42"/>
    </row>
    <row r="4" spans="1:37" ht="14.25" customHeight="1" x14ac:dyDescent="0.45">
      <c r="A4" s="61" t="s">
        <v>205</v>
      </c>
      <c r="B4" s="61" t="s">
        <v>580</v>
      </c>
      <c r="C4" s="61" t="s">
        <v>581</v>
      </c>
      <c r="D4" s="61" t="s">
        <v>207</v>
      </c>
      <c r="E4" s="61" t="s">
        <v>276</v>
      </c>
      <c r="F4" s="62"/>
      <c r="G4" s="62"/>
      <c r="H4" s="62"/>
      <c r="I4" s="62"/>
    </row>
    <row r="5" spans="1:37" ht="14.25" customHeight="1" x14ac:dyDescent="0.45">
      <c r="A5" s="25" t="s">
        <v>209</v>
      </c>
      <c r="B5" s="63">
        <v>9</v>
      </c>
      <c r="C5" s="26" t="s">
        <v>582</v>
      </c>
      <c r="D5" s="63">
        <v>1</v>
      </c>
      <c r="E5" s="26" t="s">
        <v>583</v>
      </c>
      <c r="F5" s="62"/>
      <c r="G5" s="62"/>
      <c r="H5" s="62"/>
      <c r="I5" s="62"/>
    </row>
    <row r="6" spans="1:37" ht="14.25" customHeight="1" x14ac:dyDescent="0.45">
      <c r="A6" s="25" t="s">
        <v>213</v>
      </c>
      <c r="B6" s="63">
        <v>49</v>
      </c>
      <c r="C6" s="26" t="s">
        <v>582</v>
      </c>
      <c r="D6" s="63">
        <v>1</v>
      </c>
      <c r="E6" s="26" t="s">
        <v>584</v>
      </c>
      <c r="F6" s="62"/>
      <c r="G6" s="62"/>
      <c r="H6" s="62"/>
      <c r="I6" s="62"/>
    </row>
    <row r="7" spans="1:37" ht="14.25" customHeight="1" x14ac:dyDescent="0.45">
      <c r="A7" s="25" t="s">
        <v>216</v>
      </c>
      <c r="B7" s="63">
        <v>29</v>
      </c>
      <c r="C7" s="26" t="s">
        <v>585</v>
      </c>
      <c r="D7" s="63">
        <v>2</v>
      </c>
      <c r="E7" s="26" t="s">
        <v>586</v>
      </c>
      <c r="F7" s="62"/>
      <c r="G7" s="62"/>
      <c r="H7" s="62"/>
      <c r="I7" s="62"/>
    </row>
    <row r="8" spans="1:37" ht="14.25" customHeight="1" x14ac:dyDescent="0.45">
      <c r="A8" s="25" t="s">
        <v>220</v>
      </c>
      <c r="B8" s="63">
        <v>39</v>
      </c>
      <c r="C8" s="26" t="s">
        <v>585</v>
      </c>
      <c r="D8" s="63">
        <v>50</v>
      </c>
      <c r="E8" s="26" t="s">
        <v>587</v>
      </c>
      <c r="F8" s="62"/>
      <c r="G8" s="62"/>
      <c r="H8" s="62"/>
      <c r="I8" s="62"/>
    </row>
    <row r="9" spans="1:37" ht="14.25" customHeight="1" x14ac:dyDescent="0.45">
      <c r="A9" s="64" t="s">
        <v>224</v>
      </c>
      <c r="B9" s="65">
        <v>49</v>
      </c>
      <c r="C9" s="66" t="s">
        <v>585</v>
      </c>
      <c r="D9" s="65">
        <v>100</v>
      </c>
      <c r="E9" s="66" t="s">
        <v>588</v>
      </c>
      <c r="F9" s="67"/>
      <c r="G9" s="67"/>
      <c r="H9" s="67"/>
      <c r="I9" s="67"/>
    </row>
    <row r="10" spans="1:37" ht="14.25" customHeight="1" x14ac:dyDescent="0.45">
      <c r="A10" s="25"/>
      <c r="B10" s="68"/>
      <c r="C10" s="68"/>
      <c r="D10" s="68"/>
      <c r="E10" s="68"/>
      <c r="F10" s="62"/>
      <c r="G10" s="62"/>
      <c r="H10" s="62"/>
      <c r="I10" s="62"/>
    </row>
    <row r="11" spans="1:37" ht="14.25" customHeight="1" x14ac:dyDescent="0.45">
      <c r="A11" s="25" t="s">
        <v>589</v>
      </c>
      <c r="B11" s="51"/>
      <c r="C11" s="51"/>
      <c r="D11" s="51"/>
      <c r="E11" s="51"/>
      <c r="F11" s="62"/>
      <c r="G11" s="62"/>
      <c r="H11" s="62"/>
      <c r="I11" s="62"/>
    </row>
    <row r="12" spans="1:37" ht="14.25" customHeight="1" x14ac:dyDescent="0.45">
      <c r="A12" s="69" t="s">
        <v>148</v>
      </c>
      <c r="B12" s="70" t="s">
        <v>52</v>
      </c>
      <c r="C12" s="70" t="s">
        <v>53</v>
      </c>
      <c r="D12" s="70" t="s">
        <v>54</v>
      </c>
      <c r="E12" s="70" t="s">
        <v>276</v>
      </c>
      <c r="F12" s="67"/>
      <c r="G12" s="67"/>
      <c r="H12" s="67"/>
      <c r="I12" s="67"/>
    </row>
    <row r="13" spans="1:37" ht="14.25" customHeight="1" x14ac:dyDescent="0.45">
      <c r="A13" s="25" t="s">
        <v>590</v>
      </c>
      <c r="B13" s="63">
        <v>15000</v>
      </c>
      <c r="C13" s="26" t="s">
        <v>423</v>
      </c>
      <c r="D13" s="26" t="s">
        <v>423</v>
      </c>
      <c r="E13" s="26" t="s">
        <v>591</v>
      </c>
      <c r="F13" s="62"/>
      <c r="G13" s="62"/>
      <c r="H13" s="62"/>
      <c r="I13" s="62"/>
    </row>
    <row r="14" spans="1:37" ht="14.25" customHeight="1" x14ac:dyDescent="0.45">
      <c r="A14" s="64" t="s">
        <v>592</v>
      </c>
      <c r="B14" s="71">
        <v>0.15</v>
      </c>
      <c r="C14" s="71">
        <v>0.08</v>
      </c>
      <c r="D14" s="71">
        <v>0.05</v>
      </c>
      <c r="E14" s="72" t="s">
        <v>593</v>
      </c>
      <c r="F14" s="67"/>
      <c r="G14" s="67"/>
      <c r="H14" s="67"/>
      <c r="I14" s="67"/>
    </row>
    <row r="15" spans="1:37" ht="14.25" customHeight="1" x14ac:dyDescent="0.45">
      <c r="A15" s="25" t="s">
        <v>594</v>
      </c>
      <c r="B15" s="27">
        <f t="shared" ref="B15:AK15" si="0">$B$25+(B169+B171+B173)*$B$26</f>
        <v>5000</v>
      </c>
      <c r="C15" s="27">
        <f t="shared" si="0"/>
        <v>5000</v>
      </c>
      <c r="D15" s="27">
        <f t="shared" si="0"/>
        <v>5000</v>
      </c>
      <c r="E15" s="27">
        <f t="shared" si="0"/>
        <v>10000</v>
      </c>
      <c r="F15" s="39">
        <f t="shared" si="0"/>
        <v>10000</v>
      </c>
      <c r="G15" s="39">
        <f t="shared" si="0"/>
        <v>10000</v>
      </c>
      <c r="H15" s="39">
        <f t="shared" si="0"/>
        <v>10000</v>
      </c>
      <c r="I15" s="39">
        <f t="shared" si="0"/>
        <v>10000</v>
      </c>
      <c r="J15">
        <f t="shared" si="0"/>
        <v>10000</v>
      </c>
      <c r="K15">
        <f t="shared" si="0"/>
        <v>10000</v>
      </c>
      <c r="L15">
        <f t="shared" si="0"/>
        <v>10000</v>
      </c>
      <c r="M15">
        <f t="shared" si="0"/>
        <v>10000</v>
      </c>
      <c r="N15">
        <f t="shared" si="0"/>
        <v>10000</v>
      </c>
      <c r="O15">
        <f t="shared" si="0"/>
        <v>10000</v>
      </c>
      <c r="P15">
        <f t="shared" si="0"/>
        <v>10000</v>
      </c>
      <c r="Q15">
        <f t="shared" si="0"/>
        <v>15000</v>
      </c>
      <c r="R15">
        <f t="shared" si="0"/>
        <v>15000</v>
      </c>
      <c r="S15">
        <f t="shared" si="0"/>
        <v>15000</v>
      </c>
      <c r="T15">
        <f t="shared" si="0"/>
        <v>15000</v>
      </c>
      <c r="U15">
        <f t="shared" si="0"/>
        <v>15000</v>
      </c>
      <c r="V15">
        <f t="shared" si="0"/>
        <v>15000</v>
      </c>
      <c r="W15">
        <f t="shared" si="0"/>
        <v>20000</v>
      </c>
      <c r="X15">
        <f t="shared" si="0"/>
        <v>20000</v>
      </c>
      <c r="Y15">
        <f t="shared" si="0"/>
        <v>20000</v>
      </c>
      <c r="Z15">
        <f t="shared" si="0"/>
        <v>20000</v>
      </c>
      <c r="AA15">
        <f t="shared" si="0"/>
        <v>20000</v>
      </c>
      <c r="AB15">
        <f t="shared" si="0"/>
        <v>20000</v>
      </c>
      <c r="AC15">
        <f t="shared" si="0"/>
        <v>20000</v>
      </c>
      <c r="AD15">
        <f t="shared" si="0"/>
        <v>20000</v>
      </c>
      <c r="AE15">
        <f t="shared" si="0"/>
        <v>20000</v>
      </c>
      <c r="AF15">
        <f t="shared" si="0"/>
        <v>20000</v>
      </c>
      <c r="AG15">
        <f t="shared" si="0"/>
        <v>20000</v>
      </c>
      <c r="AH15">
        <f t="shared" si="0"/>
        <v>20000</v>
      </c>
      <c r="AI15">
        <f t="shared" si="0"/>
        <v>20000</v>
      </c>
      <c r="AJ15">
        <f t="shared" si="0"/>
        <v>20000</v>
      </c>
      <c r="AK15">
        <f t="shared" si="0"/>
        <v>20000</v>
      </c>
    </row>
    <row r="16" spans="1:37" ht="14.25" customHeight="1" x14ac:dyDescent="0.45">
      <c r="A16" s="25" t="s">
        <v>595</v>
      </c>
      <c r="B16" s="73">
        <v>0.03</v>
      </c>
      <c r="C16" s="73">
        <v>3.5000000000000003E-2</v>
      </c>
      <c r="D16" s="73">
        <v>0.04</v>
      </c>
      <c r="E16" s="74" t="s">
        <v>596</v>
      </c>
      <c r="F16" s="62"/>
      <c r="G16" s="62"/>
      <c r="H16" s="62"/>
      <c r="I16" s="62"/>
    </row>
    <row r="17" spans="1:38" ht="14.25" customHeight="1" x14ac:dyDescent="0.45">
      <c r="A17" s="25" t="s">
        <v>597</v>
      </c>
      <c r="B17" s="73">
        <v>0.25</v>
      </c>
      <c r="C17" s="73">
        <v>0.3</v>
      </c>
      <c r="D17" s="73">
        <v>0.35</v>
      </c>
      <c r="E17" s="74" t="s">
        <v>598</v>
      </c>
      <c r="F17" s="62"/>
      <c r="G17" s="62"/>
      <c r="H17" s="62"/>
      <c r="I17" s="62"/>
    </row>
    <row r="18" spans="1:38" ht="14.25" customHeight="1" x14ac:dyDescent="0.45">
      <c r="A18" s="25" t="s">
        <v>599</v>
      </c>
      <c r="B18" s="73">
        <v>0.52</v>
      </c>
      <c r="C18" s="73">
        <v>0.57999999999999996</v>
      </c>
      <c r="D18" s="73">
        <v>0.65</v>
      </c>
      <c r="E18" s="74" t="s">
        <v>600</v>
      </c>
      <c r="F18" s="62"/>
      <c r="G18" s="62"/>
      <c r="H18" s="62"/>
      <c r="I18" s="62"/>
    </row>
    <row r="19" spans="1:38" ht="14.25" customHeight="1" x14ac:dyDescent="0.45">
      <c r="A19" s="64" t="s">
        <v>601</v>
      </c>
      <c r="B19" s="72">
        <f>ROUND('Revenue Model'!B16*$E$50,0)</f>
        <v>0</v>
      </c>
      <c r="C19" s="72">
        <f>ROUND('Revenue Model'!C16*$E$50,0)</f>
        <v>0</v>
      </c>
      <c r="D19" s="72">
        <f>ROUND('Revenue Model'!D16*$E$50,0)</f>
        <v>0</v>
      </c>
      <c r="E19" s="72">
        <f>ROUND('Revenue Model'!E16*$E$50,0)</f>
        <v>22</v>
      </c>
      <c r="F19" s="75">
        <f>ROUND('Revenue Model'!F16*$E$50,0)</f>
        <v>13</v>
      </c>
      <c r="G19" s="75">
        <f>ROUND('Revenue Model'!G16*$E$50,0)</f>
        <v>20</v>
      </c>
      <c r="H19" s="75">
        <f>ROUND('Revenue Model'!H16*$E$50,0)</f>
        <v>24</v>
      </c>
      <c r="I19" s="75">
        <f>ROUND('Revenue Model'!I16*$E$50,0)</f>
        <v>24</v>
      </c>
      <c r="J19">
        <f>ROUND('Revenue Model'!J16*$E$50,0)</f>
        <v>24</v>
      </c>
      <c r="K19">
        <f>ROUND('Revenue Model'!K16*$E$50,0)</f>
        <v>24</v>
      </c>
      <c r="L19">
        <f>ROUND('Revenue Model'!L16*$E$50,0)</f>
        <v>24</v>
      </c>
      <c r="M19">
        <f>ROUND('Revenue Model'!M16*$E$50,0)</f>
        <v>24</v>
      </c>
      <c r="N19">
        <f>ROUND('Revenue Model'!N16*$E$50,0)</f>
        <v>28</v>
      </c>
      <c r="O19">
        <f>ROUND('Revenue Model'!O16*$E$50,0)</f>
        <v>28</v>
      </c>
      <c r="P19">
        <f>ROUND('Revenue Model'!P16*$E$50,0)</f>
        <v>28</v>
      </c>
      <c r="Q19">
        <f>ROUND('Revenue Model'!Q16*$E$50,0)</f>
        <v>31</v>
      </c>
      <c r="R19">
        <f>ROUND('Revenue Model'!R16*$E$50,0)</f>
        <v>34</v>
      </c>
      <c r="S19">
        <f>ROUND('Revenue Model'!S16*$E$50,0)</f>
        <v>40</v>
      </c>
      <c r="T19">
        <f>ROUND('Revenue Model'!T16*$E$50,0)</f>
        <v>43</v>
      </c>
      <c r="U19">
        <f>ROUND('Revenue Model'!U16*$E$50,0)</f>
        <v>43</v>
      </c>
      <c r="V19">
        <f>ROUND('Revenue Model'!V16*$E$50,0)</f>
        <v>43</v>
      </c>
      <c r="W19">
        <f>ROUND('Revenue Model'!W16*$E$50,0)</f>
        <v>45</v>
      </c>
      <c r="X19">
        <f>ROUND('Revenue Model'!X16*$E$50,0)</f>
        <v>53</v>
      </c>
      <c r="Y19">
        <f>ROUND('Revenue Model'!Y16*$E$50,0)</f>
        <v>59</v>
      </c>
      <c r="Z19">
        <f>ROUND('Revenue Model'!Z16*$E$50,0)</f>
        <v>61</v>
      </c>
      <c r="AA19">
        <f>ROUND('Revenue Model'!AA16*$E$50,0)</f>
        <v>61</v>
      </c>
      <c r="AB19">
        <f>ROUND('Revenue Model'!AB16*$E$50,0)</f>
        <v>61</v>
      </c>
      <c r="AC19">
        <f>ROUND('Revenue Model'!AC16*$E$50,0)</f>
        <v>61</v>
      </c>
      <c r="AD19">
        <f>ROUND('Revenue Model'!AD16*$E$50,0)</f>
        <v>61</v>
      </c>
      <c r="AE19">
        <f>ROUND('Revenue Model'!AE16*$E$50,0)</f>
        <v>61</v>
      </c>
      <c r="AF19">
        <f>ROUND('Revenue Model'!AF16*$E$50,0)</f>
        <v>61</v>
      </c>
      <c r="AG19">
        <f>ROUND('Revenue Model'!AG16*$E$50,0)</f>
        <v>61</v>
      </c>
      <c r="AH19">
        <f>ROUND('Revenue Model'!AH16*$E$50,0)</f>
        <v>61</v>
      </c>
      <c r="AI19">
        <f>ROUND('Revenue Model'!AI16*$E$50,0)</f>
        <v>61</v>
      </c>
      <c r="AJ19">
        <f>ROUND('Revenue Model'!AJ16*$E$50,0)</f>
        <v>61</v>
      </c>
      <c r="AK19">
        <f>ROUND('Revenue Model'!AK16*$E$50,0)</f>
        <v>61</v>
      </c>
      <c r="AL19">
        <f>ROUND('Revenue Model'!AL16*$E$50,0)</f>
        <v>0</v>
      </c>
    </row>
    <row r="20" spans="1:38" ht="14.25" customHeight="1" x14ac:dyDescent="0.45">
      <c r="A20" s="25" t="s">
        <v>602</v>
      </c>
      <c r="B20" s="73">
        <f t="shared" ref="B20:AL20" si="1">IF(B121&gt;0,ROUND(B19/B121,0),0)</f>
        <v>0</v>
      </c>
      <c r="C20" s="76">
        <f t="shared" si="1"/>
        <v>0</v>
      </c>
      <c r="D20" s="76">
        <f t="shared" si="1"/>
        <v>0</v>
      </c>
      <c r="E20" s="74">
        <f t="shared" si="1"/>
        <v>22</v>
      </c>
      <c r="F20" s="62">
        <f t="shared" si="1"/>
        <v>12</v>
      </c>
      <c r="G20" s="62">
        <f t="shared" si="1"/>
        <v>17</v>
      </c>
      <c r="H20" s="62">
        <f t="shared" si="1"/>
        <v>19</v>
      </c>
      <c r="I20" s="62">
        <f t="shared" si="1"/>
        <v>18</v>
      </c>
      <c r="J20">
        <f t="shared" si="1"/>
        <v>17</v>
      </c>
      <c r="K20">
        <f t="shared" si="1"/>
        <v>16</v>
      </c>
      <c r="L20">
        <f t="shared" si="1"/>
        <v>15</v>
      </c>
      <c r="M20">
        <f t="shared" si="1"/>
        <v>15</v>
      </c>
      <c r="N20">
        <f t="shared" si="1"/>
        <v>16</v>
      </c>
      <c r="O20">
        <f t="shared" si="1"/>
        <v>16</v>
      </c>
      <c r="P20">
        <f t="shared" si="1"/>
        <v>15</v>
      </c>
      <c r="Q20">
        <f t="shared" si="1"/>
        <v>16</v>
      </c>
      <c r="R20">
        <f t="shared" si="1"/>
        <v>17</v>
      </c>
      <c r="S20">
        <f t="shared" si="1"/>
        <v>19</v>
      </c>
      <c r="T20">
        <f t="shared" si="1"/>
        <v>20</v>
      </c>
      <c r="U20">
        <f t="shared" si="1"/>
        <v>19</v>
      </c>
      <c r="V20">
        <f t="shared" si="1"/>
        <v>18</v>
      </c>
      <c r="W20">
        <f t="shared" si="1"/>
        <v>18</v>
      </c>
      <c r="X20">
        <f t="shared" si="1"/>
        <v>21</v>
      </c>
      <c r="Y20">
        <f t="shared" si="1"/>
        <v>23</v>
      </c>
      <c r="Z20">
        <f t="shared" si="1"/>
        <v>23</v>
      </c>
      <c r="AA20">
        <f t="shared" si="1"/>
        <v>22</v>
      </c>
      <c r="AB20">
        <f t="shared" si="1"/>
        <v>21</v>
      </c>
      <c r="AC20">
        <f t="shared" si="1"/>
        <v>21</v>
      </c>
      <c r="AD20">
        <f t="shared" si="1"/>
        <v>20</v>
      </c>
      <c r="AE20">
        <f t="shared" si="1"/>
        <v>20</v>
      </c>
      <c r="AF20">
        <f t="shared" si="1"/>
        <v>19</v>
      </c>
      <c r="AG20">
        <f t="shared" si="1"/>
        <v>19</v>
      </c>
      <c r="AH20">
        <f t="shared" si="1"/>
        <v>18</v>
      </c>
      <c r="AI20">
        <f t="shared" si="1"/>
        <v>18</v>
      </c>
      <c r="AJ20">
        <f t="shared" si="1"/>
        <v>18</v>
      </c>
      <c r="AK20">
        <f t="shared" si="1"/>
        <v>17</v>
      </c>
      <c r="AL20">
        <f t="shared" si="1"/>
        <v>0</v>
      </c>
    </row>
    <row r="21" spans="1:38" ht="14.25" customHeight="1" x14ac:dyDescent="0.45">
      <c r="A21" s="25" t="s">
        <v>603</v>
      </c>
      <c r="B21" s="73">
        <v>0.1</v>
      </c>
      <c r="C21" s="76"/>
      <c r="D21" s="76"/>
      <c r="E21" s="74" t="s">
        <v>604</v>
      </c>
      <c r="F21" s="62"/>
      <c r="G21" s="62"/>
      <c r="H21" s="62"/>
      <c r="I21" s="62"/>
    </row>
    <row r="22" spans="1:38" ht="14.25" customHeight="1" x14ac:dyDescent="0.45">
      <c r="A22" s="25" t="s">
        <v>605</v>
      </c>
      <c r="B22" s="73">
        <v>5000</v>
      </c>
      <c r="C22" s="76"/>
      <c r="D22" s="76"/>
      <c r="E22" s="74" t="s">
        <v>606</v>
      </c>
      <c r="F22" s="62"/>
      <c r="G22" s="62"/>
      <c r="H22" s="62"/>
      <c r="I22" s="62"/>
    </row>
    <row r="23" spans="1:38" ht="14.25" customHeight="1" x14ac:dyDescent="0.45">
      <c r="A23" s="25" t="s">
        <v>607</v>
      </c>
      <c r="B23" s="73">
        <v>3</v>
      </c>
      <c r="C23" s="76"/>
      <c r="D23" s="76"/>
      <c r="E23" s="74" t="s">
        <v>608</v>
      </c>
      <c r="F23" s="62"/>
      <c r="G23" s="62"/>
      <c r="H23" s="62"/>
      <c r="I23" s="62"/>
    </row>
    <row r="24" spans="1:38" ht="14.25" customHeight="1" x14ac:dyDescent="0.45">
      <c r="A24" s="25" t="s">
        <v>609</v>
      </c>
      <c r="B24" s="73">
        <v>4</v>
      </c>
      <c r="C24" s="73">
        <v>1</v>
      </c>
      <c r="D24" s="73">
        <v>1</v>
      </c>
      <c r="E24" s="74" t="s">
        <v>610</v>
      </c>
      <c r="F24" s="62"/>
      <c r="G24" s="62"/>
      <c r="H24" s="62"/>
      <c r="I24" s="62"/>
    </row>
    <row r="25" spans="1:38" ht="14.25" customHeight="1" x14ac:dyDescent="0.45">
      <c r="A25" s="25" t="s">
        <v>611</v>
      </c>
      <c r="B25" s="73">
        <v>5000</v>
      </c>
      <c r="C25" s="76"/>
      <c r="D25" s="76"/>
      <c r="E25" s="76"/>
      <c r="F25" s="62"/>
      <c r="G25" s="62"/>
      <c r="H25" s="62"/>
      <c r="I25" s="62"/>
    </row>
    <row r="26" spans="1:38" ht="14.25" customHeight="1" x14ac:dyDescent="0.45">
      <c r="A26" s="25" t="s">
        <v>612</v>
      </c>
      <c r="B26" s="63">
        <v>5000</v>
      </c>
      <c r="C26" s="68"/>
      <c r="D26" s="68"/>
      <c r="E26" s="68"/>
      <c r="F26" s="62"/>
      <c r="G26" s="62"/>
      <c r="H26" s="62"/>
      <c r="I26" s="62"/>
    </row>
    <row r="27" spans="1:38" ht="14.25" customHeight="1" x14ac:dyDescent="0.45">
      <c r="A27" s="64" t="s">
        <v>613</v>
      </c>
      <c r="B27" s="77"/>
      <c r="C27" s="77"/>
      <c r="D27" s="77"/>
      <c r="E27" s="77"/>
      <c r="F27" s="67"/>
      <c r="G27" s="67"/>
      <c r="H27" s="67"/>
      <c r="I27" s="67"/>
    </row>
    <row r="28" spans="1:38" ht="14.25" customHeight="1" x14ac:dyDescent="0.45">
      <c r="A28" s="61" t="s">
        <v>614</v>
      </c>
      <c r="B28" s="78" t="s">
        <v>615</v>
      </c>
      <c r="C28" s="78" t="s">
        <v>486</v>
      </c>
      <c r="D28" s="78" t="s">
        <v>616</v>
      </c>
      <c r="E28" s="78" t="s">
        <v>276</v>
      </c>
      <c r="F28" s="62"/>
      <c r="G28" s="62"/>
      <c r="H28" s="62"/>
      <c r="I28" s="62"/>
    </row>
    <row r="29" spans="1:38" ht="14.25" customHeight="1" x14ac:dyDescent="0.45">
      <c r="A29" s="25" t="s">
        <v>209</v>
      </c>
      <c r="B29" s="63">
        <v>0.45</v>
      </c>
      <c r="C29" s="63">
        <v>1</v>
      </c>
      <c r="D29" s="26">
        <f>$B$5</f>
        <v>9</v>
      </c>
      <c r="E29" s="26" t="s">
        <v>617</v>
      </c>
      <c r="F29" s="62"/>
      <c r="G29" s="62"/>
      <c r="H29" s="62"/>
      <c r="I29" s="62"/>
    </row>
    <row r="30" spans="1:38" ht="14.25" customHeight="1" x14ac:dyDescent="0.45">
      <c r="A30" s="25" t="s">
        <v>213</v>
      </c>
      <c r="B30" s="63">
        <v>0.35</v>
      </c>
      <c r="C30" s="63">
        <v>1</v>
      </c>
      <c r="D30" s="26">
        <f>$B$6</f>
        <v>49</v>
      </c>
      <c r="E30" s="26" t="s">
        <v>618</v>
      </c>
      <c r="F30" s="62"/>
      <c r="G30" s="62"/>
      <c r="H30" s="62"/>
      <c r="I30" s="62"/>
    </row>
    <row r="31" spans="1:38" ht="14.25" customHeight="1" x14ac:dyDescent="0.45">
      <c r="A31" s="25" t="s">
        <v>619</v>
      </c>
      <c r="B31" s="63">
        <v>0.15</v>
      </c>
      <c r="C31" s="63">
        <v>2</v>
      </c>
      <c r="D31" s="26">
        <f>$B$7</f>
        <v>29</v>
      </c>
      <c r="E31" s="26" t="s">
        <v>620</v>
      </c>
      <c r="F31" s="62"/>
      <c r="G31" s="62"/>
      <c r="H31" s="62"/>
      <c r="I31" s="62"/>
    </row>
    <row r="32" spans="1:38" ht="14.25" customHeight="1" x14ac:dyDescent="0.45">
      <c r="A32" s="25" t="s">
        <v>621</v>
      </c>
      <c r="B32" s="63">
        <v>0.05</v>
      </c>
      <c r="C32" s="63">
        <v>5</v>
      </c>
      <c r="D32" s="26">
        <f>$B$7</f>
        <v>29</v>
      </c>
      <c r="E32" s="26" t="s">
        <v>622</v>
      </c>
      <c r="F32" s="62"/>
      <c r="G32" s="62"/>
      <c r="H32" s="62"/>
      <c r="I32" s="62"/>
    </row>
    <row r="33" spans="1:38" ht="14.25" customHeight="1" x14ac:dyDescent="0.45">
      <c r="A33" s="64" t="s">
        <v>623</v>
      </c>
      <c r="B33" s="66">
        <f>SUM(B29:B32)</f>
        <v>1</v>
      </c>
      <c r="C33" s="66">
        <f>SUMPRODUCT(B29:B32,C29:C32)</f>
        <v>1.35</v>
      </c>
      <c r="D33" s="79"/>
      <c r="E33" s="66" t="s">
        <v>624</v>
      </c>
      <c r="F33" s="67"/>
      <c r="G33" s="67"/>
      <c r="H33" s="67"/>
      <c r="I33" s="67"/>
    </row>
    <row r="34" spans="1:38" ht="14.25" customHeight="1" x14ac:dyDescent="0.45">
      <c r="A34" s="25"/>
      <c r="B34" s="68"/>
      <c r="C34" s="68"/>
      <c r="D34" s="68"/>
      <c r="E34" s="68"/>
      <c r="F34" s="62"/>
      <c r="G34" s="62"/>
      <c r="H34" s="62"/>
      <c r="I34" s="62"/>
    </row>
    <row r="35" spans="1:38" ht="14.25" customHeight="1" x14ac:dyDescent="0.45">
      <c r="A35" s="25" t="s">
        <v>625</v>
      </c>
      <c r="B35" s="51"/>
      <c r="C35" s="51"/>
      <c r="D35" s="51"/>
      <c r="E35" s="51"/>
      <c r="F35" s="62"/>
      <c r="G35" s="62"/>
      <c r="H35" s="62"/>
      <c r="I35" s="62"/>
    </row>
    <row r="36" spans="1:38" ht="14.25" customHeight="1" x14ac:dyDescent="0.45">
      <c r="A36" s="69" t="s">
        <v>626</v>
      </c>
      <c r="B36" s="80">
        <v>75</v>
      </c>
      <c r="C36" s="70" t="s">
        <v>486</v>
      </c>
      <c r="D36" s="70" t="s">
        <v>616</v>
      </c>
      <c r="E36" s="70" t="s">
        <v>276</v>
      </c>
      <c r="F36" s="67"/>
      <c r="G36" s="67"/>
      <c r="H36" s="67"/>
      <c r="I36" s="67"/>
    </row>
    <row r="37" spans="1:38" ht="14.25" customHeight="1" x14ac:dyDescent="0.45">
      <c r="A37" s="25" t="s">
        <v>627</v>
      </c>
      <c r="B37" s="63">
        <v>0.25</v>
      </c>
      <c r="C37" s="26" t="s">
        <v>628</v>
      </c>
      <c r="D37" s="26">
        <f>B36*B37</f>
        <v>18.75</v>
      </c>
      <c r="E37" s="26" t="s">
        <v>629</v>
      </c>
      <c r="F37" s="62"/>
      <c r="G37" s="62"/>
      <c r="H37" s="62"/>
      <c r="I37" s="62"/>
    </row>
    <row r="38" spans="1:38" ht="14.25" customHeight="1" x14ac:dyDescent="0.45">
      <c r="A38" s="25" t="s">
        <v>630</v>
      </c>
      <c r="B38" s="63">
        <v>0.55000000000000004</v>
      </c>
      <c r="C38" s="63">
        <v>15</v>
      </c>
      <c r="D38" s="26">
        <f>$B$7</f>
        <v>29</v>
      </c>
      <c r="E38" s="26" t="s">
        <v>631</v>
      </c>
      <c r="F38" s="62"/>
      <c r="G38" s="62"/>
      <c r="H38" s="62"/>
      <c r="I38" s="62"/>
    </row>
    <row r="39" spans="1:38" ht="14.25" customHeight="1" x14ac:dyDescent="0.45">
      <c r="A39" s="25" t="s">
        <v>632</v>
      </c>
      <c r="B39" s="63">
        <v>0.35</v>
      </c>
      <c r="C39" s="63">
        <v>25</v>
      </c>
      <c r="D39" s="26">
        <f>$B$7</f>
        <v>29</v>
      </c>
      <c r="E39" s="26" t="s">
        <v>633</v>
      </c>
      <c r="F39" s="62"/>
      <c r="G39" s="62"/>
      <c r="H39" s="62"/>
      <c r="I39" s="62"/>
    </row>
    <row r="40" spans="1:38" ht="14.25" customHeight="1" x14ac:dyDescent="0.45">
      <c r="A40" s="25" t="s">
        <v>634</v>
      </c>
      <c r="B40" s="26">
        <f>SUM(B37:B39)</f>
        <v>1.1499999999999999</v>
      </c>
      <c r="C40" s="26">
        <f>SUMPRODUCT(B37:B39,C37:C39)</f>
        <v>17</v>
      </c>
      <c r="D40" s="68"/>
      <c r="E40" s="26" t="s">
        <v>635</v>
      </c>
      <c r="F40" s="62"/>
      <c r="G40" s="62"/>
      <c r="H40" s="62"/>
      <c r="I40" s="62"/>
    </row>
    <row r="41" spans="1:38" ht="14.25" customHeight="1" x14ac:dyDescent="0.45">
      <c r="A41" s="64" t="s">
        <v>636</v>
      </c>
      <c r="B41" s="65">
        <f>IF(1&lt;=12,$C$127,IF(1&lt;=24,$E$127,$G$127))</f>
        <v>4.0000000000000001E-3</v>
      </c>
      <c r="C41" s="79">
        <f>IF(2&lt;=12,$C$127,IF(2&lt;=24,$E$127,$G$127))</f>
        <v>4.0000000000000001E-3</v>
      </c>
      <c r="D41" s="66">
        <f>IF(3&lt;=12,$C$127,IF(3&lt;=24,$E$127,$G$127))</f>
        <v>4.0000000000000001E-3</v>
      </c>
      <c r="E41" s="65">
        <f>IF(4&lt;=12,$C$127,IF(4&lt;=24,$E$127,$G$127))</f>
        <v>4.0000000000000001E-3</v>
      </c>
      <c r="F41" s="67">
        <f>IF(5&lt;=12,$C$127,IF(5&lt;=24,$E$127,$G$127))</f>
        <v>4.0000000000000001E-3</v>
      </c>
      <c r="G41" s="67">
        <f>IF(6&lt;=12,$C$127,IF(6&lt;=24,$E$127,$G$127))</f>
        <v>4.0000000000000001E-3</v>
      </c>
      <c r="H41" s="67">
        <f>IF(7&lt;=12,$C$127,IF(7&lt;=24,$E$127,$G$127))</f>
        <v>4.0000000000000001E-3</v>
      </c>
      <c r="I41" s="67">
        <f>IF(8&lt;=12,$C$127,IF(8&lt;=24,$E$127,$G$127))</f>
        <v>4.0000000000000001E-3</v>
      </c>
      <c r="J41">
        <f>IF(9&lt;=12,$C$127,IF(9&lt;=24,$E$127,$G$127))</f>
        <v>4.0000000000000001E-3</v>
      </c>
      <c r="K41">
        <f>IF(10&lt;=12,$C$127,IF(10&lt;=24,$E$127,$G$127))</f>
        <v>4.0000000000000001E-3</v>
      </c>
      <c r="L41">
        <f>IF(11&lt;=12,$C$127,IF(11&lt;=24,$E$127,$G$127))</f>
        <v>4.0000000000000001E-3</v>
      </c>
      <c r="M41">
        <f>IF(12&lt;=12,$C$127,IF(12&lt;=24,$E$127,$G$127))</f>
        <v>4.0000000000000001E-3</v>
      </c>
      <c r="N41">
        <f>IF(13&lt;=12,$C$127,IF(13&lt;=24,$E$127,$G$127))</f>
        <v>6.0000000000000001E-3</v>
      </c>
      <c r="O41">
        <f>IF(14&lt;=12,$C$127,IF(14&lt;=24,$E$127,$G$127))</f>
        <v>6.0000000000000001E-3</v>
      </c>
      <c r="P41">
        <f>IF(15&lt;=12,$C$127,IF(15&lt;=24,$E$127,$G$127))</f>
        <v>6.0000000000000001E-3</v>
      </c>
      <c r="Q41">
        <f>IF(16&lt;=12,$C$127,IF(16&lt;=24,$E$127,$G$127))</f>
        <v>6.0000000000000001E-3</v>
      </c>
      <c r="R41">
        <f>IF(17&lt;=12,$C$127,IF(17&lt;=24,$E$127,$G$127))</f>
        <v>6.0000000000000001E-3</v>
      </c>
      <c r="S41">
        <f>IF(18&lt;=12,$C$127,IF(18&lt;=24,$E$127,$G$127))</f>
        <v>6.0000000000000001E-3</v>
      </c>
      <c r="T41">
        <f>IF(19&lt;=12,$C$127,IF(19&lt;=24,$E$127,$G$127))</f>
        <v>6.0000000000000001E-3</v>
      </c>
      <c r="U41">
        <f>IF(20&lt;=12,$C$127,IF(20&lt;=24,$E$127,$G$127))</f>
        <v>6.0000000000000001E-3</v>
      </c>
      <c r="V41">
        <f>IF(21&lt;=12,$C$127,IF(21&lt;=24,$E$127,$G$127))</f>
        <v>6.0000000000000001E-3</v>
      </c>
      <c r="W41">
        <f>IF(22&lt;=12,$C$127,IF(22&lt;=24,$E$127,$G$127))</f>
        <v>6.0000000000000001E-3</v>
      </c>
      <c r="X41">
        <f>IF(23&lt;=12,$C$127,IF(23&lt;=24,$E$127,$G$127))</f>
        <v>6.0000000000000001E-3</v>
      </c>
      <c r="Y41">
        <f>IF(24&lt;=12,$C$127,IF(24&lt;=24,$E$127,$G$127))</f>
        <v>6.0000000000000001E-3</v>
      </c>
      <c r="Z41">
        <f>IF(25&lt;=12,$C$127,IF(25&lt;=24,$E$127,$G$127))</f>
        <v>8.0000000000000002E-3</v>
      </c>
      <c r="AA41">
        <f>IF(26&lt;=12,$C$127,IF(26&lt;=24,$E$127,$G$127))</f>
        <v>8.0000000000000002E-3</v>
      </c>
      <c r="AB41">
        <f>IF(27&lt;=12,$C$127,IF(27&lt;=24,$E$127,$G$127))</f>
        <v>8.0000000000000002E-3</v>
      </c>
      <c r="AC41">
        <f>IF(28&lt;=12,$C$127,IF(28&lt;=24,$E$127,$G$127))</f>
        <v>8.0000000000000002E-3</v>
      </c>
      <c r="AD41">
        <f>IF(29&lt;=12,$C$127,IF(29&lt;=24,$E$127,$G$127))</f>
        <v>8.0000000000000002E-3</v>
      </c>
      <c r="AE41">
        <f>IF(30&lt;=12,$C$127,IF(30&lt;=24,$E$127,$G$127))</f>
        <v>8.0000000000000002E-3</v>
      </c>
      <c r="AF41">
        <f>IF(31&lt;=12,$C$127,IF(31&lt;=24,$E$127,$G$127))</f>
        <v>8.0000000000000002E-3</v>
      </c>
      <c r="AG41">
        <f>IF(32&lt;=12,$C$127,IF(32&lt;=24,$E$127,$G$127))</f>
        <v>8.0000000000000002E-3</v>
      </c>
      <c r="AH41">
        <f>IF(33&lt;=12,$C$127,IF(33&lt;=24,$E$127,$G$127))</f>
        <v>8.0000000000000002E-3</v>
      </c>
      <c r="AI41">
        <f>IF(34&lt;=12,$C$127,IF(34&lt;=24,$E$127,$G$127))</f>
        <v>8.0000000000000002E-3</v>
      </c>
      <c r="AJ41">
        <f>IF(35&lt;=12,$C$127,IF(35&lt;=24,$E$127,$G$127))</f>
        <v>8.0000000000000002E-3</v>
      </c>
      <c r="AK41">
        <f>IF(36&lt;=12,$C$127,IF(36&lt;=24,$E$127,$G$127))</f>
        <v>8.0000000000000002E-3</v>
      </c>
      <c r="AL41">
        <f>IF(37&lt;=12,$C$127,IF(37&lt;=24,$E$127,$G$127))</f>
        <v>8.0000000000000002E-3</v>
      </c>
    </row>
    <row r="42" spans="1:38" ht="14.25" customHeight="1" x14ac:dyDescent="0.45">
      <c r="A42" s="25" t="s">
        <v>637</v>
      </c>
      <c r="B42" s="51"/>
      <c r="C42" s="51"/>
      <c r="D42" s="51"/>
      <c r="E42" s="51"/>
      <c r="F42" s="62"/>
      <c r="G42" s="62"/>
      <c r="H42" s="62"/>
      <c r="I42" s="62"/>
    </row>
    <row r="43" spans="1:38" ht="14.25" customHeight="1" x14ac:dyDescent="0.45">
      <c r="A43" s="61" t="s">
        <v>638</v>
      </c>
      <c r="B43" s="51"/>
      <c r="C43" s="78" t="s">
        <v>53</v>
      </c>
      <c r="D43" s="78" t="s">
        <v>54</v>
      </c>
      <c r="E43" s="78" t="s">
        <v>276</v>
      </c>
      <c r="F43" s="62"/>
      <c r="G43" s="62"/>
      <c r="H43" s="62"/>
      <c r="I43" s="62"/>
    </row>
    <row r="44" spans="1:38" ht="14.25" customHeight="1" x14ac:dyDescent="0.45">
      <c r="A44" s="25" t="s">
        <v>639</v>
      </c>
      <c r="B44" s="63">
        <v>8</v>
      </c>
      <c r="C44" s="26" t="s">
        <v>640</v>
      </c>
      <c r="D44" s="63">
        <v>0.75</v>
      </c>
      <c r="E44" s="26" t="s">
        <v>641</v>
      </c>
      <c r="F44" s="39">
        <f>B44*D44</f>
        <v>6</v>
      </c>
      <c r="G44" s="62"/>
      <c r="H44" s="62"/>
      <c r="I44" s="62"/>
    </row>
    <row r="45" spans="1:38" ht="14.25" customHeight="1" x14ac:dyDescent="0.45">
      <c r="A45" s="25" t="s">
        <v>642</v>
      </c>
      <c r="B45" s="63">
        <v>5</v>
      </c>
      <c r="C45" s="63">
        <v>4</v>
      </c>
      <c r="D45" s="63">
        <v>0</v>
      </c>
      <c r="E45" s="26" t="s">
        <v>643</v>
      </c>
      <c r="F45" s="62"/>
      <c r="G45" s="62"/>
      <c r="H45" s="62"/>
      <c r="I45" s="62"/>
    </row>
    <row r="46" spans="1:38" ht="14.25" customHeight="1" x14ac:dyDescent="0.45">
      <c r="A46" s="25" t="s">
        <v>644</v>
      </c>
      <c r="B46" s="63">
        <v>8</v>
      </c>
      <c r="C46" s="63">
        <v>8</v>
      </c>
      <c r="D46" s="63">
        <v>8</v>
      </c>
      <c r="E46" s="26" t="s">
        <v>645</v>
      </c>
      <c r="F46" s="62"/>
      <c r="G46" s="62"/>
      <c r="H46" s="62"/>
      <c r="I46" s="62"/>
    </row>
    <row r="47" spans="1:38" ht="14.25" customHeight="1" x14ac:dyDescent="0.45">
      <c r="A47" s="25" t="s">
        <v>646</v>
      </c>
      <c r="B47" s="63">
        <v>4</v>
      </c>
      <c r="C47" s="26" t="s">
        <v>423</v>
      </c>
      <c r="D47" s="26" t="s">
        <v>423</v>
      </c>
      <c r="E47" s="26" t="s">
        <v>647</v>
      </c>
      <c r="F47" s="62"/>
      <c r="G47" s="62"/>
      <c r="H47" s="62"/>
      <c r="I47" s="62"/>
    </row>
    <row r="48" spans="1:38" ht="14.25" customHeight="1" x14ac:dyDescent="0.45">
      <c r="A48" s="25" t="s">
        <v>648</v>
      </c>
      <c r="B48" s="63">
        <v>16</v>
      </c>
      <c r="C48" s="63">
        <v>16</v>
      </c>
      <c r="D48" s="26" t="s">
        <v>423</v>
      </c>
      <c r="E48" s="26" t="s">
        <v>647</v>
      </c>
      <c r="F48" s="62"/>
      <c r="G48" s="62"/>
      <c r="H48" s="62"/>
      <c r="I48" s="62"/>
    </row>
    <row r="49" spans="1:11" ht="14.25" customHeight="1" x14ac:dyDescent="0.45">
      <c r="A49" s="25" t="s">
        <v>649</v>
      </c>
      <c r="B49" s="81">
        <v>22</v>
      </c>
      <c r="C49" s="81">
        <v>22</v>
      </c>
      <c r="D49" s="81">
        <v>27</v>
      </c>
      <c r="E49" s="78" t="s">
        <v>647</v>
      </c>
      <c r="F49" s="62"/>
      <c r="G49" s="62"/>
      <c r="H49" s="62"/>
      <c r="I49" s="62"/>
    </row>
    <row r="50" spans="1:11" ht="14.25" customHeight="1" x14ac:dyDescent="0.45">
      <c r="A50" s="61" t="s">
        <v>650</v>
      </c>
      <c r="B50" s="81">
        <v>4</v>
      </c>
      <c r="C50" s="51"/>
      <c r="D50" s="78" t="s">
        <v>233</v>
      </c>
      <c r="E50" s="81">
        <v>0.1</v>
      </c>
      <c r="F50" s="39" t="s">
        <v>651</v>
      </c>
      <c r="G50" s="82">
        <v>1</v>
      </c>
      <c r="H50" s="39" t="s">
        <v>652</v>
      </c>
      <c r="I50" s="82">
        <v>0.08</v>
      </c>
      <c r="J50" t="s">
        <v>653</v>
      </c>
      <c r="K50">
        <v>5</v>
      </c>
    </row>
    <row r="51" spans="1:11" ht="14.25" customHeight="1" x14ac:dyDescent="0.45">
      <c r="A51" s="25" t="s">
        <v>654</v>
      </c>
      <c r="B51" s="68"/>
      <c r="C51" s="68"/>
      <c r="D51" s="68"/>
      <c r="E51" s="68"/>
      <c r="F51" s="62"/>
      <c r="G51" s="62"/>
      <c r="H51" s="62"/>
      <c r="I51" s="62"/>
    </row>
    <row r="52" spans="1:11" ht="14.25" customHeight="1" x14ac:dyDescent="0.45">
      <c r="A52" s="25" t="s">
        <v>655</v>
      </c>
      <c r="B52" s="63">
        <v>125</v>
      </c>
      <c r="C52" s="26" t="s">
        <v>53</v>
      </c>
      <c r="D52" s="26" t="s">
        <v>54</v>
      </c>
      <c r="E52" s="26" t="s">
        <v>276</v>
      </c>
      <c r="F52" s="62"/>
      <c r="G52" s="62"/>
      <c r="H52" s="62"/>
      <c r="I52" s="62"/>
    </row>
    <row r="53" spans="1:11" ht="14.25" customHeight="1" x14ac:dyDescent="0.45">
      <c r="A53" s="25" t="s">
        <v>656</v>
      </c>
      <c r="B53" s="73">
        <v>1.4999999999999999E-2</v>
      </c>
      <c r="C53" s="73">
        <v>1.7500000000000002E-2</v>
      </c>
      <c r="D53" s="73">
        <v>1.4999999999999999E-2</v>
      </c>
      <c r="E53" s="74" t="s">
        <v>657</v>
      </c>
      <c r="F53" s="62"/>
      <c r="G53" s="62"/>
      <c r="H53" s="62"/>
      <c r="I53" s="62"/>
    </row>
    <row r="54" spans="1:11" ht="14.25" customHeight="1" x14ac:dyDescent="0.45">
      <c r="A54" s="25" t="s">
        <v>658</v>
      </c>
      <c r="B54" s="73">
        <v>15</v>
      </c>
      <c r="C54" s="73">
        <v>0.15</v>
      </c>
      <c r="D54" s="73">
        <v>0.2</v>
      </c>
      <c r="E54" s="74" t="s">
        <v>659</v>
      </c>
      <c r="F54" s="62"/>
      <c r="G54" s="62"/>
      <c r="H54" s="62"/>
      <c r="I54" s="62"/>
    </row>
    <row r="55" spans="1:11" ht="14.25" customHeight="1" x14ac:dyDescent="0.45">
      <c r="A55" s="25" t="s">
        <v>165</v>
      </c>
      <c r="B55" s="73">
        <v>0.7</v>
      </c>
      <c r="C55" s="76"/>
      <c r="D55" s="76"/>
      <c r="E55" s="74" t="s">
        <v>660</v>
      </c>
      <c r="F55" s="62"/>
      <c r="G55" s="62"/>
      <c r="H55" s="62"/>
      <c r="I55" s="62"/>
    </row>
    <row r="56" spans="1:11" ht="14.25" customHeight="1" x14ac:dyDescent="0.45">
      <c r="A56" s="25"/>
      <c r="B56" s="63">
        <v>0.01</v>
      </c>
      <c r="C56" s="63">
        <v>2.5</v>
      </c>
      <c r="D56" s="63">
        <v>3</v>
      </c>
      <c r="E56" s="26" t="s">
        <v>661</v>
      </c>
      <c r="F56" s="62"/>
      <c r="G56" s="62"/>
      <c r="H56" s="62"/>
      <c r="I56" s="62"/>
    </row>
    <row r="57" spans="1:11" ht="14.25" customHeight="1" x14ac:dyDescent="0.45">
      <c r="A57" s="25"/>
      <c r="B57" s="63">
        <v>0.85</v>
      </c>
      <c r="C57" s="68"/>
      <c r="D57" s="68"/>
      <c r="E57" s="68"/>
      <c r="F57" s="62"/>
      <c r="G57" s="62"/>
      <c r="H57" s="62"/>
      <c r="I57" s="62"/>
    </row>
    <row r="58" spans="1:11" ht="14.25" customHeight="1" x14ac:dyDescent="0.45">
      <c r="A58" s="64" t="s">
        <v>465</v>
      </c>
      <c r="B58" s="77"/>
      <c r="C58" s="77"/>
      <c r="D58" s="77"/>
      <c r="E58" s="77"/>
      <c r="F58" s="67"/>
      <c r="G58" s="67"/>
      <c r="H58" s="67"/>
      <c r="I58" s="67"/>
    </row>
    <row r="59" spans="1:11" ht="14.25" customHeight="1" x14ac:dyDescent="0.45">
      <c r="A59" s="69" t="s">
        <v>148</v>
      </c>
      <c r="B59" s="70" t="s">
        <v>52</v>
      </c>
      <c r="C59" s="70" t="s">
        <v>53</v>
      </c>
      <c r="D59" s="70" t="s">
        <v>54</v>
      </c>
      <c r="E59" s="70" t="s">
        <v>276</v>
      </c>
      <c r="F59" s="67"/>
      <c r="G59" s="67"/>
      <c r="H59" s="67"/>
      <c r="I59" s="67"/>
    </row>
    <row r="60" spans="1:11" ht="14.25" customHeight="1" x14ac:dyDescent="0.45">
      <c r="A60" s="25" t="s">
        <v>295</v>
      </c>
      <c r="B60" s="63">
        <v>3.4</v>
      </c>
      <c r="C60" s="63">
        <v>2.7</v>
      </c>
      <c r="D60" s="63">
        <v>2.08</v>
      </c>
      <c r="E60" s="26" t="s">
        <v>662</v>
      </c>
      <c r="F60" s="62"/>
      <c r="G60" s="62"/>
      <c r="H60" s="62"/>
      <c r="I60" s="62"/>
    </row>
    <row r="61" spans="1:11" ht="14.25" customHeight="1" x14ac:dyDescent="0.45">
      <c r="A61" s="25" t="s">
        <v>296</v>
      </c>
      <c r="B61" s="63">
        <v>0.72</v>
      </c>
      <c r="C61" s="63">
        <v>0.47</v>
      </c>
      <c r="D61" s="63">
        <v>0.31</v>
      </c>
      <c r="E61" s="26" t="s">
        <v>663</v>
      </c>
      <c r="F61" s="62"/>
      <c r="G61" s="62"/>
      <c r="H61" s="62"/>
      <c r="I61" s="62"/>
    </row>
    <row r="62" spans="1:11" ht="14.25" customHeight="1" x14ac:dyDescent="0.45">
      <c r="A62" s="25" t="s">
        <v>297</v>
      </c>
      <c r="B62" s="63">
        <v>0.12</v>
      </c>
      <c r="C62" s="63">
        <v>0.08</v>
      </c>
      <c r="D62" s="63">
        <v>0.06</v>
      </c>
      <c r="E62" s="26" t="s">
        <v>664</v>
      </c>
      <c r="F62" s="62"/>
      <c r="G62" s="62"/>
      <c r="H62" s="62"/>
      <c r="I62" s="62"/>
    </row>
    <row r="63" spans="1:11" ht="14.25" customHeight="1" x14ac:dyDescent="0.45">
      <c r="A63" s="25" t="s">
        <v>298</v>
      </c>
      <c r="B63" s="63">
        <v>0.24</v>
      </c>
      <c r="C63" s="63">
        <v>0.18</v>
      </c>
      <c r="D63" s="63">
        <v>0.14000000000000001</v>
      </c>
      <c r="E63" s="26" t="s">
        <v>665</v>
      </c>
      <c r="F63" s="62"/>
      <c r="G63" s="62"/>
      <c r="H63" s="62"/>
      <c r="I63" s="62"/>
    </row>
    <row r="64" spans="1:11" ht="14.25" customHeight="1" x14ac:dyDescent="0.45">
      <c r="A64" s="25" t="s">
        <v>299</v>
      </c>
      <c r="B64" s="63">
        <v>0</v>
      </c>
      <c r="C64" s="63">
        <v>0.06</v>
      </c>
      <c r="D64" s="63">
        <v>0.04</v>
      </c>
      <c r="E64" s="26" t="s">
        <v>666</v>
      </c>
      <c r="F64" s="62"/>
      <c r="G64" s="62"/>
      <c r="H64" s="62"/>
      <c r="I64" s="62"/>
    </row>
    <row r="65" spans="1:9" ht="14.25" customHeight="1" x14ac:dyDescent="0.45">
      <c r="A65" s="25" t="s">
        <v>667</v>
      </c>
      <c r="B65" s="73">
        <v>2.9000000000000001E-2</v>
      </c>
      <c r="C65" s="73">
        <v>2.9000000000000001E-2</v>
      </c>
      <c r="D65" s="73">
        <v>2.9000000000000001E-2</v>
      </c>
      <c r="E65" s="74" t="s">
        <v>668</v>
      </c>
      <c r="F65" s="62"/>
      <c r="G65" s="62"/>
      <c r="H65" s="62"/>
      <c r="I65" s="62"/>
    </row>
    <row r="66" spans="1:9" ht="14.25" customHeight="1" x14ac:dyDescent="0.45">
      <c r="A66" s="25" t="s">
        <v>300</v>
      </c>
      <c r="B66" s="68">
        <v>0.01</v>
      </c>
      <c r="C66" s="68">
        <v>8.0000000000000002E-3</v>
      </c>
      <c r="D66" s="68">
        <v>6.0000000000000001E-3</v>
      </c>
      <c r="E66" s="68"/>
      <c r="F66" s="62"/>
      <c r="G66" s="62"/>
      <c r="H66" s="62"/>
      <c r="I66" s="62"/>
    </row>
    <row r="67" spans="1:9" ht="14.25" customHeight="1" x14ac:dyDescent="0.45">
      <c r="A67" s="64" t="s">
        <v>669</v>
      </c>
      <c r="B67" s="83"/>
      <c r="C67" s="83"/>
      <c r="D67" s="83"/>
      <c r="E67" s="83"/>
      <c r="F67" s="67"/>
      <c r="G67" s="67"/>
      <c r="H67" s="67"/>
      <c r="I67" s="67"/>
    </row>
    <row r="68" spans="1:9" ht="14.25" customHeight="1" x14ac:dyDescent="0.45">
      <c r="A68" s="69" t="s">
        <v>148</v>
      </c>
      <c r="B68" s="70" t="s">
        <v>52</v>
      </c>
      <c r="C68" s="70" t="s">
        <v>53</v>
      </c>
      <c r="D68" s="70" t="s">
        <v>54</v>
      </c>
      <c r="E68" s="70" t="s">
        <v>276</v>
      </c>
      <c r="F68" s="67"/>
      <c r="G68" s="67"/>
      <c r="H68" s="67"/>
      <c r="I68" s="67"/>
    </row>
    <row r="69" spans="1:9" ht="14.25" customHeight="1" x14ac:dyDescent="0.45">
      <c r="A69" s="25" t="s">
        <v>303</v>
      </c>
      <c r="B69" s="63">
        <v>1500</v>
      </c>
      <c r="C69" s="63">
        <v>3000</v>
      </c>
      <c r="D69" s="63">
        <v>5000</v>
      </c>
      <c r="E69" s="26" t="s">
        <v>670</v>
      </c>
      <c r="F69" s="62"/>
      <c r="G69" s="62"/>
      <c r="H69" s="62"/>
      <c r="I69" s="62"/>
    </row>
    <row r="70" spans="1:9" ht="14.25" customHeight="1" x14ac:dyDescent="0.45">
      <c r="A70" s="25" t="s">
        <v>304</v>
      </c>
      <c r="B70" s="63">
        <v>0</v>
      </c>
      <c r="C70" s="63">
        <v>249</v>
      </c>
      <c r="D70" s="63">
        <v>499</v>
      </c>
      <c r="E70" s="26" t="s">
        <v>671</v>
      </c>
      <c r="F70" s="62"/>
      <c r="G70" s="62"/>
      <c r="H70" s="62"/>
      <c r="I70" s="62"/>
    </row>
    <row r="71" spans="1:9" ht="14.25" customHeight="1" x14ac:dyDescent="0.45">
      <c r="A71" s="25" t="s">
        <v>672</v>
      </c>
      <c r="B71" s="63">
        <v>0</v>
      </c>
      <c r="C71" s="63">
        <v>350</v>
      </c>
      <c r="D71" s="63">
        <v>600</v>
      </c>
      <c r="E71" s="26" t="s">
        <v>673</v>
      </c>
      <c r="F71" s="62"/>
      <c r="G71" s="62"/>
      <c r="H71" s="62"/>
      <c r="I71" s="62"/>
    </row>
    <row r="72" spans="1:9" ht="14.25" customHeight="1" x14ac:dyDescent="0.45">
      <c r="A72" s="64"/>
      <c r="B72" s="65"/>
      <c r="C72" s="65"/>
      <c r="D72" s="65"/>
      <c r="E72" s="66" t="s">
        <v>674</v>
      </c>
      <c r="F72" s="67"/>
      <c r="G72" s="67"/>
      <c r="H72" s="67"/>
      <c r="I72" s="67"/>
    </row>
    <row r="73" spans="1:9" ht="14.25" customHeight="1" x14ac:dyDescent="0.45">
      <c r="A73" s="25" t="s">
        <v>306</v>
      </c>
      <c r="B73" s="63">
        <v>0</v>
      </c>
      <c r="C73" s="63">
        <v>50</v>
      </c>
      <c r="D73" s="63">
        <v>90</v>
      </c>
      <c r="E73" s="68"/>
      <c r="F73" s="62"/>
      <c r="G73" s="62"/>
      <c r="H73" s="62"/>
      <c r="I73" s="62"/>
    </row>
    <row r="74" spans="1:9" ht="14.25" customHeight="1" x14ac:dyDescent="0.45">
      <c r="A74" s="64" t="s">
        <v>675</v>
      </c>
      <c r="B74" s="83"/>
      <c r="C74" s="83"/>
      <c r="D74" s="83"/>
      <c r="E74" s="83"/>
      <c r="F74" s="67"/>
      <c r="G74" s="67"/>
      <c r="H74" s="67"/>
      <c r="I74" s="67"/>
    </row>
    <row r="75" spans="1:9" ht="14.25" customHeight="1" x14ac:dyDescent="0.45">
      <c r="A75" s="69" t="s">
        <v>148</v>
      </c>
      <c r="B75" s="70" t="s">
        <v>52</v>
      </c>
      <c r="C75" s="70" t="s">
        <v>53</v>
      </c>
      <c r="D75" s="70" t="s">
        <v>54</v>
      </c>
      <c r="E75" s="70" t="s">
        <v>276</v>
      </c>
      <c r="F75" s="67"/>
      <c r="G75" s="67"/>
      <c r="H75" s="67"/>
      <c r="I75" s="67"/>
    </row>
    <row r="76" spans="1:9" ht="14.25" customHeight="1" x14ac:dyDescent="0.45">
      <c r="A76" s="25" t="s">
        <v>308</v>
      </c>
      <c r="B76" s="63">
        <v>200</v>
      </c>
      <c r="C76" s="63">
        <v>350</v>
      </c>
      <c r="D76" s="63">
        <v>500</v>
      </c>
      <c r="E76" s="26" t="s">
        <v>676</v>
      </c>
      <c r="F76" s="62"/>
      <c r="G76" s="62"/>
      <c r="H76" s="62"/>
      <c r="I76" s="62"/>
    </row>
    <row r="77" spans="1:9" ht="14.25" customHeight="1" x14ac:dyDescent="0.45">
      <c r="A77" s="25" t="s">
        <v>677</v>
      </c>
      <c r="B77" s="63">
        <v>200</v>
      </c>
      <c r="C77" s="63">
        <v>300</v>
      </c>
      <c r="D77" s="63">
        <v>400</v>
      </c>
      <c r="E77" s="26" t="s">
        <v>678</v>
      </c>
      <c r="F77" s="62"/>
      <c r="G77" s="62"/>
      <c r="H77" s="62"/>
      <c r="I77" s="62"/>
    </row>
    <row r="78" spans="1:9" ht="14.25" customHeight="1" x14ac:dyDescent="0.45">
      <c r="A78" s="25" t="s">
        <v>679</v>
      </c>
      <c r="B78" s="63">
        <v>7500</v>
      </c>
      <c r="C78" s="63">
        <v>7500</v>
      </c>
      <c r="D78" s="63">
        <v>10000</v>
      </c>
      <c r="E78" s="26" t="s">
        <v>680</v>
      </c>
      <c r="F78" s="62"/>
      <c r="G78" s="62"/>
      <c r="H78" s="62"/>
      <c r="I78" s="62"/>
    </row>
    <row r="79" spans="1:9" ht="14.25" customHeight="1" x14ac:dyDescent="0.45">
      <c r="A79" s="25" t="s">
        <v>681</v>
      </c>
      <c r="B79" s="84">
        <v>30000</v>
      </c>
      <c r="C79" s="84">
        <v>50000</v>
      </c>
      <c r="D79" s="84">
        <v>75000</v>
      </c>
      <c r="E79" s="27" t="s">
        <v>682</v>
      </c>
      <c r="F79" s="62"/>
      <c r="G79" s="62"/>
      <c r="H79" s="62"/>
      <c r="I79" s="62"/>
    </row>
    <row r="80" spans="1:9" ht="14.25" customHeight="1" x14ac:dyDescent="0.45">
      <c r="A80" s="25" t="s">
        <v>683</v>
      </c>
      <c r="B80" s="63">
        <v>150</v>
      </c>
      <c r="C80" s="63">
        <v>150</v>
      </c>
      <c r="D80" s="63">
        <v>150</v>
      </c>
      <c r="E80" s="26" t="s">
        <v>684</v>
      </c>
      <c r="F80" s="62"/>
      <c r="G80" s="62"/>
      <c r="H80" s="62"/>
      <c r="I80" s="62"/>
    </row>
    <row r="81" spans="1:9" ht="14.25" customHeight="1" x14ac:dyDescent="0.45">
      <c r="A81" s="25" t="s">
        <v>685</v>
      </c>
      <c r="B81" s="68"/>
      <c r="C81" s="68"/>
      <c r="D81" s="68"/>
      <c r="E81" s="68"/>
      <c r="F81" s="62"/>
      <c r="G81" s="62"/>
      <c r="H81" s="62"/>
      <c r="I81" s="62"/>
    </row>
    <row r="82" spans="1:9" ht="14.25" customHeight="1" x14ac:dyDescent="0.45">
      <c r="A82" s="64" t="s">
        <v>148</v>
      </c>
      <c r="B82" s="85" t="s">
        <v>149</v>
      </c>
      <c r="C82" s="86"/>
      <c r="D82" s="86"/>
      <c r="E82" s="86"/>
      <c r="F82" s="67"/>
      <c r="G82" s="67"/>
      <c r="H82" s="67"/>
      <c r="I82" s="67"/>
    </row>
    <row r="83" spans="1:9" ht="14.25" customHeight="1" x14ac:dyDescent="0.45">
      <c r="A83" s="61" t="s">
        <v>686</v>
      </c>
      <c r="B83" s="87">
        <v>2500000</v>
      </c>
      <c r="C83" s="78" t="s">
        <v>687</v>
      </c>
      <c r="D83" s="78" t="s">
        <v>688</v>
      </c>
      <c r="E83" s="51"/>
      <c r="F83" s="62"/>
      <c r="G83" s="62"/>
      <c r="H83" s="62"/>
      <c r="I83" s="62"/>
    </row>
    <row r="84" spans="1:9" ht="14.25" customHeight="1" x14ac:dyDescent="0.45">
      <c r="A84" s="25" t="s">
        <v>689</v>
      </c>
      <c r="B84" s="63">
        <v>25000</v>
      </c>
      <c r="C84" s="63">
        <v>25000</v>
      </c>
      <c r="D84" s="26" t="s">
        <v>690</v>
      </c>
      <c r="E84" s="68"/>
      <c r="F84" s="62"/>
      <c r="G84" s="62"/>
      <c r="H84" s="62"/>
      <c r="I84" s="62"/>
    </row>
    <row r="85" spans="1:9" ht="14.25" customHeight="1" x14ac:dyDescent="0.45">
      <c r="A85" s="25" t="s">
        <v>691</v>
      </c>
      <c r="B85" s="63">
        <v>0.15</v>
      </c>
      <c r="C85" s="63">
        <v>0.2</v>
      </c>
      <c r="D85" s="26" t="s">
        <v>692</v>
      </c>
      <c r="E85" s="68"/>
      <c r="F85" s="62"/>
      <c r="G85" s="62"/>
      <c r="H85" s="62"/>
      <c r="I85" s="62"/>
    </row>
    <row r="86" spans="1:9" ht="14.25" customHeight="1" x14ac:dyDescent="0.45">
      <c r="A86" s="25" t="s">
        <v>693</v>
      </c>
      <c r="B86" s="26">
        <f>B84*B85</f>
        <v>3750</v>
      </c>
      <c r="C86" s="26">
        <f>C84*C85</f>
        <v>5000</v>
      </c>
      <c r="D86" s="26" t="s">
        <v>694</v>
      </c>
      <c r="E86" s="68"/>
      <c r="F86" s="62"/>
      <c r="G86" s="62"/>
      <c r="H86" s="62"/>
      <c r="I86" s="62"/>
    </row>
    <row r="87" spans="1:9" ht="14.25" customHeight="1" x14ac:dyDescent="0.45">
      <c r="A87" s="25" t="s">
        <v>695</v>
      </c>
      <c r="B87" s="63">
        <v>0.04</v>
      </c>
      <c r="C87" s="63">
        <v>0.05</v>
      </c>
      <c r="D87" s="26" t="s">
        <v>696</v>
      </c>
      <c r="E87" s="68"/>
      <c r="F87" s="62"/>
      <c r="G87" s="62"/>
      <c r="H87" s="62"/>
      <c r="I87" s="62"/>
    </row>
    <row r="88" spans="1:9" ht="14.25" customHeight="1" x14ac:dyDescent="0.45">
      <c r="A88" s="39" t="s">
        <v>697</v>
      </c>
      <c r="B88" s="39">
        <f>B86*B87</f>
        <v>150</v>
      </c>
      <c r="C88" s="39">
        <f>C86*C87</f>
        <v>250</v>
      </c>
      <c r="D88" s="39" t="s">
        <v>698</v>
      </c>
      <c r="E88" s="62"/>
      <c r="F88" s="62"/>
      <c r="G88" s="62"/>
      <c r="H88" s="62"/>
      <c r="I88" s="62"/>
    </row>
    <row r="89" spans="1:9" ht="14.25" customHeight="1" x14ac:dyDescent="0.45">
      <c r="A89" s="39" t="s">
        <v>699</v>
      </c>
      <c r="B89" s="39">
        <f>ROUND(B88*0.67,0)</f>
        <v>101</v>
      </c>
      <c r="C89" s="82">
        <v>235</v>
      </c>
      <c r="D89" s="39" t="s">
        <v>700</v>
      </c>
      <c r="E89" s="62"/>
      <c r="F89" s="62"/>
      <c r="G89" s="62"/>
      <c r="H89" s="62"/>
      <c r="I89" s="62"/>
    </row>
    <row r="90" spans="1:9" ht="14.25" customHeight="1" x14ac:dyDescent="0.45">
      <c r="A90" s="39"/>
      <c r="B90" s="62"/>
      <c r="C90" s="62"/>
      <c r="D90" s="62"/>
      <c r="E90" s="62"/>
      <c r="F90" s="62"/>
      <c r="G90" s="62"/>
      <c r="H90" s="62"/>
      <c r="I90" s="62"/>
    </row>
    <row r="91" spans="1:9" ht="14.25" customHeight="1" x14ac:dyDescent="0.45">
      <c r="A91" s="39" t="s">
        <v>701</v>
      </c>
      <c r="B91" s="88">
        <v>400</v>
      </c>
      <c r="C91" s="82">
        <v>400</v>
      </c>
      <c r="D91" s="39" t="s">
        <v>702</v>
      </c>
      <c r="E91" s="62"/>
      <c r="F91" s="62"/>
      <c r="G91" s="62"/>
      <c r="H91" s="62"/>
      <c r="I91" s="62"/>
    </row>
    <row r="92" spans="1:9" ht="14.25" customHeight="1" x14ac:dyDescent="0.45">
      <c r="A92" s="39" t="s">
        <v>703</v>
      </c>
      <c r="B92" s="89">
        <v>0.25</v>
      </c>
      <c r="C92" s="82">
        <v>0.4</v>
      </c>
      <c r="D92" s="39" t="s">
        <v>704</v>
      </c>
      <c r="E92" s="62"/>
      <c r="F92" s="62"/>
      <c r="G92" s="62"/>
      <c r="H92" s="62"/>
      <c r="I92" s="62"/>
    </row>
    <row r="93" spans="1:9" ht="14.25" customHeight="1" x14ac:dyDescent="0.45">
      <c r="A93" s="39" t="s">
        <v>705</v>
      </c>
      <c r="B93" s="39">
        <f>B91*B92</f>
        <v>100</v>
      </c>
      <c r="C93" s="39">
        <f>C91*C92</f>
        <v>160</v>
      </c>
      <c r="D93" s="39" t="s">
        <v>694</v>
      </c>
      <c r="E93" s="62"/>
      <c r="F93" s="62"/>
      <c r="G93" s="62"/>
      <c r="H93" s="62"/>
      <c r="I93" s="62"/>
    </row>
    <row r="94" spans="1:9" ht="14.25" customHeight="1" x14ac:dyDescent="0.45">
      <c r="A94" s="39" t="s">
        <v>706</v>
      </c>
      <c r="B94" s="82">
        <v>0.08</v>
      </c>
      <c r="C94" s="82">
        <v>0.1</v>
      </c>
      <c r="D94" s="39" t="s">
        <v>707</v>
      </c>
      <c r="E94" s="62"/>
      <c r="F94" s="62"/>
      <c r="G94" s="62"/>
      <c r="H94" s="62"/>
      <c r="I94" s="62"/>
    </row>
    <row r="95" spans="1:9" ht="14.25" customHeight="1" x14ac:dyDescent="0.45">
      <c r="A95" s="39" t="s">
        <v>708</v>
      </c>
      <c r="B95" s="39">
        <f>ROUND(B93*B94,0)</f>
        <v>8</v>
      </c>
      <c r="C95" s="39">
        <f>ROUND(C93*C94,0)</f>
        <v>16</v>
      </c>
      <c r="D95" s="39" t="s">
        <v>698</v>
      </c>
      <c r="E95" s="62"/>
      <c r="F95" s="62"/>
      <c r="G95" s="62"/>
      <c r="H95" s="62"/>
      <c r="I95" s="62"/>
    </row>
    <row r="96" spans="1:9" x14ac:dyDescent="0.45">
      <c r="A96" s="39"/>
      <c r="B96" s="62"/>
      <c r="C96" s="62"/>
      <c r="D96" s="62"/>
      <c r="E96" s="62"/>
      <c r="F96" s="62"/>
      <c r="G96" s="62"/>
      <c r="H96" s="62"/>
      <c r="I96" s="62"/>
    </row>
    <row r="97" spans="1:9" ht="14.25" customHeight="1" x14ac:dyDescent="0.45">
      <c r="A97" s="39" t="s">
        <v>709</v>
      </c>
      <c r="B97" s="82">
        <v>0</v>
      </c>
      <c r="C97" s="82">
        <v>20</v>
      </c>
      <c r="D97" s="39" t="s">
        <v>710</v>
      </c>
      <c r="E97" s="62"/>
      <c r="F97" s="62"/>
      <c r="G97" s="62"/>
      <c r="H97" s="62"/>
      <c r="I97" s="62"/>
    </row>
    <row r="98" spans="1:9" ht="14.25" customHeight="1" x14ac:dyDescent="0.45">
      <c r="A98" s="39" t="s">
        <v>711</v>
      </c>
      <c r="B98" s="82">
        <v>0</v>
      </c>
      <c r="C98" s="82">
        <v>10</v>
      </c>
      <c r="D98" s="39" t="s">
        <v>712</v>
      </c>
      <c r="E98" s="62"/>
      <c r="F98" s="62"/>
      <c r="G98" s="62"/>
      <c r="H98" s="62"/>
      <c r="I98" s="62"/>
    </row>
    <row r="99" spans="1:9" ht="14.25" customHeight="1" x14ac:dyDescent="0.45">
      <c r="A99" s="39" t="s">
        <v>713</v>
      </c>
      <c r="B99" s="82">
        <v>0</v>
      </c>
      <c r="C99" s="82">
        <v>13</v>
      </c>
      <c r="D99" s="39" t="s">
        <v>714</v>
      </c>
      <c r="E99" s="62"/>
      <c r="F99" s="62"/>
      <c r="G99" s="62"/>
      <c r="H99" s="62"/>
      <c r="I99" s="62"/>
    </row>
    <row r="100" spans="1:9" ht="14.25" customHeight="1" x14ac:dyDescent="0.45">
      <c r="A100" s="39" t="s">
        <v>715</v>
      </c>
      <c r="B100" s="82">
        <v>0</v>
      </c>
      <c r="C100" s="82">
        <v>25</v>
      </c>
      <c r="D100" s="39" t="s">
        <v>716</v>
      </c>
      <c r="E100" s="62"/>
      <c r="F100" s="62"/>
      <c r="G100" s="62"/>
      <c r="H100" s="62"/>
      <c r="I100" s="62"/>
    </row>
    <row r="101" spans="1:9" ht="14.25" customHeight="1" x14ac:dyDescent="0.45">
      <c r="A101" s="39" t="s">
        <v>717</v>
      </c>
      <c r="B101" s="39" t="s">
        <v>14</v>
      </c>
      <c r="C101" s="39" t="s">
        <v>718</v>
      </c>
      <c r="D101" s="39" t="s">
        <v>719</v>
      </c>
      <c r="E101" s="62"/>
      <c r="F101" s="62"/>
      <c r="G101" s="62"/>
      <c r="H101" s="62"/>
      <c r="I101" s="62"/>
    </row>
    <row r="102" spans="1:9" ht="15.75" customHeight="1" x14ac:dyDescent="0.45">
      <c r="A102" s="39" t="s">
        <v>720</v>
      </c>
      <c r="B102" s="62" t="s">
        <v>14</v>
      </c>
      <c r="C102" s="62" t="s">
        <v>721</v>
      </c>
      <c r="D102" s="62"/>
      <c r="E102" s="62"/>
      <c r="F102" s="62"/>
      <c r="G102" s="62"/>
      <c r="H102" s="62"/>
      <c r="I102" s="62"/>
    </row>
    <row r="103" spans="1:9" ht="14.25" customHeight="1" x14ac:dyDescent="0.45">
      <c r="A103" s="39" t="s">
        <v>722</v>
      </c>
      <c r="B103" s="39" t="s">
        <v>14</v>
      </c>
      <c r="C103" s="39" t="s">
        <v>723</v>
      </c>
      <c r="D103" s="39" t="s">
        <v>724</v>
      </c>
      <c r="E103" s="39" t="s">
        <v>725</v>
      </c>
      <c r="F103" s="62"/>
      <c r="G103" s="62"/>
      <c r="H103" s="62"/>
      <c r="I103" s="62"/>
    </row>
    <row r="104" spans="1:9" ht="14.25" customHeight="1" x14ac:dyDescent="0.45">
      <c r="A104" s="39" t="s">
        <v>726</v>
      </c>
      <c r="B104" s="82">
        <v>4000</v>
      </c>
      <c r="C104" s="82">
        <v>8000</v>
      </c>
      <c r="D104" s="82">
        <v>6000</v>
      </c>
      <c r="E104" s="39">
        <f>ROUND(D104/274,0)</f>
        <v>22</v>
      </c>
      <c r="F104" s="62"/>
      <c r="G104" s="62"/>
      <c r="H104" s="62"/>
      <c r="I104" s="62"/>
    </row>
    <row r="105" spans="1:9" ht="14.25" customHeight="1" x14ac:dyDescent="0.45">
      <c r="A105" s="39" t="s">
        <v>727</v>
      </c>
      <c r="B105" s="82">
        <v>8000</v>
      </c>
      <c r="C105" s="82">
        <v>15000</v>
      </c>
      <c r="D105" s="82">
        <v>12000</v>
      </c>
      <c r="E105" s="39">
        <f>ROUND(D105/274,0)</f>
        <v>44</v>
      </c>
      <c r="F105" s="62"/>
      <c r="G105" s="62"/>
      <c r="H105" s="62"/>
      <c r="I105" s="62"/>
    </row>
    <row r="106" spans="1:9" ht="14.25" customHeight="1" x14ac:dyDescent="0.45">
      <c r="A106" s="39" t="s">
        <v>728</v>
      </c>
      <c r="B106" s="82">
        <v>3000</v>
      </c>
      <c r="C106" s="82">
        <v>6000</v>
      </c>
      <c r="D106" s="82">
        <v>4500</v>
      </c>
      <c r="E106" s="39">
        <f>ROUND(D106/274,0)</f>
        <v>16</v>
      </c>
      <c r="F106" s="62"/>
      <c r="G106" s="62"/>
      <c r="H106" s="62"/>
      <c r="I106" s="62"/>
    </row>
    <row r="107" spans="1:9" ht="14.25" customHeight="1" x14ac:dyDescent="0.45">
      <c r="A107" s="39" t="s">
        <v>729</v>
      </c>
      <c r="B107" s="82">
        <v>2000</v>
      </c>
      <c r="C107" s="82">
        <v>4000</v>
      </c>
      <c r="D107" s="82">
        <v>3000</v>
      </c>
      <c r="E107" s="39">
        <f>ROUND(D107/274,0)</f>
        <v>11</v>
      </c>
      <c r="F107" s="62"/>
      <c r="G107" s="62"/>
      <c r="H107" s="62"/>
      <c r="I107" s="62"/>
    </row>
    <row r="108" spans="1:9" ht="14.25" customHeight="1" x14ac:dyDescent="0.45">
      <c r="A108" s="39" t="s">
        <v>197</v>
      </c>
      <c r="B108" s="82">
        <v>6000</v>
      </c>
      <c r="C108" s="82">
        <v>12000</v>
      </c>
      <c r="D108" s="82">
        <v>9000</v>
      </c>
      <c r="E108" s="39">
        <f>ROUND(D108/274,0)</f>
        <v>33</v>
      </c>
      <c r="F108" s="62"/>
      <c r="G108" s="62"/>
      <c r="H108" s="62"/>
      <c r="I108" s="62"/>
    </row>
    <row r="109" spans="1:9" ht="14.25" customHeight="1" x14ac:dyDescent="0.45">
      <c r="A109" s="75" t="s">
        <v>730</v>
      </c>
      <c r="B109" s="90">
        <v>90</v>
      </c>
      <c r="C109" s="90">
        <v>490</v>
      </c>
      <c r="D109" s="90">
        <v>274</v>
      </c>
      <c r="E109" s="90">
        <v>1</v>
      </c>
      <c r="F109" s="67"/>
      <c r="G109" s="67"/>
      <c r="H109" s="67"/>
      <c r="I109" s="67"/>
    </row>
    <row r="110" spans="1:9" ht="14.25" customHeight="1" x14ac:dyDescent="0.45">
      <c r="A110" s="75" t="s">
        <v>731</v>
      </c>
      <c r="B110" s="67"/>
      <c r="C110" s="67"/>
      <c r="D110" s="75">
        <f>D104</f>
        <v>6000</v>
      </c>
      <c r="E110" s="75">
        <f>E104</f>
        <v>22</v>
      </c>
      <c r="F110" s="67"/>
      <c r="G110" s="67"/>
      <c r="H110" s="67"/>
      <c r="I110" s="67"/>
    </row>
    <row r="111" spans="1:9" ht="14.25" customHeight="1" x14ac:dyDescent="0.45">
      <c r="A111" s="39" t="s">
        <v>732</v>
      </c>
      <c r="B111" s="82">
        <v>19500</v>
      </c>
      <c r="C111" s="82">
        <v>29400</v>
      </c>
      <c r="D111" s="82">
        <v>23400</v>
      </c>
      <c r="E111" s="82">
        <v>50</v>
      </c>
      <c r="F111" s="62"/>
      <c r="G111" s="62"/>
      <c r="H111" s="62"/>
      <c r="I111" s="62"/>
    </row>
    <row r="112" spans="1:9" x14ac:dyDescent="0.45">
      <c r="A112" s="39"/>
      <c r="B112" s="62"/>
      <c r="C112" s="62"/>
      <c r="D112" s="62"/>
      <c r="E112" s="62"/>
      <c r="F112" s="62"/>
      <c r="G112" s="62"/>
      <c r="H112" s="62"/>
      <c r="I112" s="62"/>
    </row>
    <row r="113" spans="1:37" x14ac:dyDescent="0.45">
      <c r="A113" s="39"/>
      <c r="B113" s="62"/>
      <c r="C113" s="62"/>
      <c r="D113" s="62"/>
      <c r="E113" s="62"/>
      <c r="F113" s="62"/>
      <c r="G113" s="62"/>
      <c r="H113" s="62"/>
      <c r="I113" s="62"/>
    </row>
    <row r="114" spans="1:37" ht="15.75" customHeight="1" x14ac:dyDescent="0.45">
      <c r="A114" s="75" t="s">
        <v>733</v>
      </c>
      <c r="B114" s="67"/>
      <c r="C114" s="67"/>
      <c r="D114" s="67"/>
      <c r="E114" s="67"/>
      <c r="F114" s="67"/>
      <c r="G114" s="67"/>
      <c r="H114" s="67"/>
      <c r="I114" s="67"/>
    </row>
    <row r="115" spans="1:37" ht="14.25" customHeight="1" x14ac:dyDescent="0.45">
      <c r="A115" s="39" t="s">
        <v>169</v>
      </c>
      <c r="B115" s="39" t="s">
        <v>734</v>
      </c>
      <c r="C115" s="39" t="s">
        <v>735</v>
      </c>
      <c r="D115" s="39" t="s">
        <v>736</v>
      </c>
      <c r="E115" s="62"/>
      <c r="F115" s="62"/>
      <c r="G115" s="62"/>
      <c r="H115" s="62"/>
      <c r="I115" s="62"/>
    </row>
    <row r="116" spans="1:37" ht="14.25" customHeight="1" x14ac:dyDescent="0.45">
      <c r="A116" s="39" t="s">
        <v>737</v>
      </c>
      <c r="B116" s="82">
        <v>22</v>
      </c>
      <c r="C116" s="82">
        <v>25</v>
      </c>
      <c r="D116" s="82">
        <v>28</v>
      </c>
      <c r="E116" s="62"/>
      <c r="F116" s="62"/>
      <c r="G116" s="62"/>
      <c r="H116" s="62"/>
      <c r="I116" s="62"/>
    </row>
    <row r="117" spans="1:37" ht="14.25" customHeight="1" x14ac:dyDescent="0.45">
      <c r="A117" s="39" t="s">
        <v>181</v>
      </c>
      <c r="B117" s="82">
        <v>44</v>
      </c>
      <c r="C117" s="82">
        <v>50</v>
      </c>
      <c r="D117" s="82">
        <v>60</v>
      </c>
      <c r="E117" s="62"/>
      <c r="F117" s="62"/>
      <c r="G117" s="62"/>
      <c r="H117" s="62"/>
      <c r="I117" s="62"/>
    </row>
    <row r="118" spans="1:37" ht="14.25" customHeight="1" x14ac:dyDescent="0.45">
      <c r="A118" s="39" t="s">
        <v>187</v>
      </c>
      <c r="B118" s="82">
        <v>0</v>
      </c>
      <c r="C118" s="82">
        <v>15</v>
      </c>
      <c r="D118" s="82">
        <v>20</v>
      </c>
      <c r="E118" s="62"/>
      <c r="F118" s="62"/>
      <c r="G118" s="62"/>
      <c r="H118" s="62"/>
      <c r="I118" s="62"/>
    </row>
    <row r="119" spans="1:37" ht="14.25" customHeight="1" x14ac:dyDescent="0.45">
      <c r="A119" s="39" t="s">
        <v>729</v>
      </c>
      <c r="B119" s="82">
        <v>0</v>
      </c>
      <c r="C119" s="82">
        <v>10</v>
      </c>
      <c r="D119" s="82">
        <v>14</v>
      </c>
      <c r="E119" s="62"/>
      <c r="F119" s="62"/>
      <c r="G119" s="62"/>
      <c r="H119" s="62"/>
      <c r="I119" s="62"/>
    </row>
    <row r="120" spans="1:37" ht="14.25" customHeight="1" x14ac:dyDescent="0.45">
      <c r="A120" s="39" t="s">
        <v>197</v>
      </c>
      <c r="B120" s="82">
        <v>0</v>
      </c>
      <c r="C120" s="82">
        <v>35</v>
      </c>
      <c r="D120" s="82">
        <v>45</v>
      </c>
      <c r="E120" s="62"/>
      <c r="F120" s="62"/>
      <c r="G120" s="62"/>
      <c r="H120" s="62"/>
      <c r="I120" s="62"/>
    </row>
    <row r="121" spans="1:37" ht="14.25" customHeight="1" x14ac:dyDescent="0.45">
      <c r="A121" s="75" t="s">
        <v>738</v>
      </c>
      <c r="B121" s="75">
        <f>$G$50</f>
        <v>1</v>
      </c>
      <c r="C121" s="75">
        <f>$G$50</f>
        <v>1</v>
      </c>
      <c r="D121" s="75">
        <f>$G$50</f>
        <v>1</v>
      </c>
      <c r="E121" s="75">
        <f>MIN($K$50,$G$50+(4-4)*$I$50)</f>
        <v>1</v>
      </c>
      <c r="F121" s="75">
        <f>MIN($K$50,$G$50+(5-4)*$I$50)</f>
        <v>1.08</v>
      </c>
      <c r="G121" s="75">
        <f>MIN($K$50,$G$50+(6-4)*$I$50)</f>
        <v>1.1599999999999999</v>
      </c>
      <c r="H121" s="75">
        <f>MIN($K$50,$G$50+(7-4)*$I$50)</f>
        <v>1.24</v>
      </c>
      <c r="I121" s="75">
        <f>MIN($K$50,$G$50+(8-4)*$I$50)</f>
        <v>1.32</v>
      </c>
      <c r="J121">
        <f>MIN($K$50,$G$50+(9-4)*$I$50)</f>
        <v>1.4</v>
      </c>
      <c r="K121">
        <f>MIN($K$50,$G$50+(10-4)*$I$50)</f>
        <v>1.48</v>
      </c>
      <c r="L121">
        <f>MIN($K$50,$G$50+(11-4)*$I$50)</f>
        <v>1.56</v>
      </c>
      <c r="M121">
        <f>MIN($K$50,$G$50+(12-4)*$I$50)</f>
        <v>1.6400000000000001</v>
      </c>
      <c r="N121">
        <f>MIN($K$50,$G$50+(13-4)*$I$50)</f>
        <v>1.72</v>
      </c>
      <c r="O121">
        <f>MIN($K$50,$G$50+(14-4)*$I$50)</f>
        <v>1.8</v>
      </c>
      <c r="P121">
        <f>MIN($K$50,$G$50+(15-4)*$I$50)</f>
        <v>1.88</v>
      </c>
      <c r="Q121">
        <f>MIN($K$50,$G$50+(16-4)*$I$50)</f>
        <v>1.96</v>
      </c>
      <c r="R121">
        <f>MIN($K$50,$G$50+(17-4)*$I$50)</f>
        <v>2.04</v>
      </c>
      <c r="S121">
        <f>MIN($K$50,$G$50+(18-4)*$I$50)</f>
        <v>2.12</v>
      </c>
      <c r="T121">
        <f>MIN($K$50,$G$50+(19-4)*$I$50)</f>
        <v>2.2000000000000002</v>
      </c>
      <c r="U121">
        <f>MIN($K$50,$G$50+(20-4)*$I$50)</f>
        <v>2.2800000000000002</v>
      </c>
      <c r="V121">
        <f>MIN($K$50,$G$50+(21-4)*$I$50)</f>
        <v>2.3600000000000003</v>
      </c>
      <c r="W121">
        <f>MIN($K$50,$G$50+(22-4)*$I$50)</f>
        <v>2.44</v>
      </c>
      <c r="X121">
        <f>MIN($K$50,$G$50+(23-4)*$I$50)</f>
        <v>2.52</v>
      </c>
      <c r="Y121">
        <f>MIN($K$50,$G$50+(24-4)*$I$50)</f>
        <v>2.6</v>
      </c>
      <c r="Z121">
        <f>MIN($K$50,$G$50+(25-4)*$I$50)</f>
        <v>2.6799999999999997</v>
      </c>
      <c r="AA121">
        <f>MIN($K$50,$G$50+(26-4)*$I$50)</f>
        <v>2.76</v>
      </c>
      <c r="AB121">
        <f>MIN($K$50,$G$50+(27-4)*$I$50)</f>
        <v>2.84</v>
      </c>
      <c r="AC121">
        <f>MIN($K$50,$G$50+(28-4)*$I$50)</f>
        <v>2.92</v>
      </c>
      <c r="AD121">
        <f>MIN($K$50,$G$50+(29-4)*$I$50)</f>
        <v>3</v>
      </c>
      <c r="AE121">
        <f>MIN($K$50,$G$50+(30-4)*$I$50)</f>
        <v>3.08</v>
      </c>
      <c r="AF121">
        <f>MIN($K$50,$G$50+(31-4)*$I$50)</f>
        <v>3.16</v>
      </c>
      <c r="AG121">
        <f>MIN($K$50,$G$50+(32-4)*$I$50)</f>
        <v>3.24</v>
      </c>
      <c r="AH121">
        <f>MIN($K$50,$G$50+(33-4)*$I$50)</f>
        <v>3.32</v>
      </c>
      <c r="AI121">
        <f>MIN($K$50,$G$50+(34-4)*$I$50)</f>
        <v>3.4</v>
      </c>
      <c r="AJ121">
        <f>MIN($K$50,$G$50+(35-4)*$I$50)</f>
        <v>3.48</v>
      </c>
      <c r="AK121">
        <f>MIN($K$50,$G$50+(36-4)*$I$50)</f>
        <v>3.56</v>
      </c>
    </row>
    <row r="122" spans="1:37" ht="14.25" customHeight="1" x14ac:dyDescent="0.45">
      <c r="A122" s="75" t="s">
        <v>739</v>
      </c>
      <c r="B122" s="90">
        <v>20</v>
      </c>
      <c r="C122" s="90">
        <v>25</v>
      </c>
      <c r="D122" s="90">
        <v>28</v>
      </c>
      <c r="E122" s="67"/>
      <c r="F122" s="67"/>
      <c r="G122" s="67"/>
      <c r="H122" s="67"/>
      <c r="I122" s="67"/>
    </row>
    <row r="123" spans="1:37" ht="14.25" customHeight="1" x14ac:dyDescent="0.45">
      <c r="A123" s="39" t="s">
        <v>740</v>
      </c>
      <c r="B123" s="82" t="s">
        <v>741</v>
      </c>
      <c r="C123" s="82" t="s">
        <v>742</v>
      </c>
      <c r="D123" s="82" t="s">
        <v>743</v>
      </c>
      <c r="E123" s="62" t="s">
        <v>744</v>
      </c>
      <c r="F123" s="62"/>
      <c r="G123" s="62"/>
      <c r="H123" s="62"/>
      <c r="I123" s="62"/>
    </row>
    <row r="124" spans="1:37" ht="14.25" customHeight="1" x14ac:dyDescent="0.45">
      <c r="A124" s="39" t="s">
        <v>52</v>
      </c>
      <c r="B124" s="82">
        <v>0.8</v>
      </c>
      <c r="C124" s="82">
        <v>0.2</v>
      </c>
      <c r="D124" s="82">
        <v>9</v>
      </c>
      <c r="E124" s="62">
        <v>49</v>
      </c>
      <c r="F124" s="62"/>
      <c r="G124" s="62"/>
      <c r="H124" s="62"/>
      <c r="I124" s="62"/>
    </row>
    <row r="125" spans="1:37" x14ac:dyDescent="0.45">
      <c r="A125" s="39" t="s">
        <v>53</v>
      </c>
      <c r="B125" s="62">
        <v>0.7</v>
      </c>
      <c r="C125" s="62">
        <v>0.3</v>
      </c>
      <c r="D125" s="62">
        <v>9</v>
      </c>
      <c r="E125" s="62">
        <v>49</v>
      </c>
      <c r="F125" s="62"/>
      <c r="G125" s="62"/>
      <c r="H125" s="62"/>
      <c r="I125" s="62"/>
    </row>
    <row r="126" spans="1:37" ht="14.25" customHeight="1" x14ac:dyDescent="0.45">
      <c r="A126" s="75" t="s">
        <v>54</v>
      </c>
      <c r="B126" s="67">
        <v>0.6</v>
      </c>
      <c r="C126" s="67">
        <v>0.4</v>
      </c>
      <c r="D126" s="67">
        <v>9</v>
      </c>
      <c r="E126" s="67">
        <v>49</v>
      </c>
      <c r="F126" s="67"/>
      <c r="G126" s="67"/>
      <c r="H126" s="67"/>
      <c r="I126" s="67"/>
    </row>
    <row r="127" spans="1:37" ht="14.25" customHeight="1" x14ac:dyDescent="0.45">
      <c r="A127" s="39" t="s">
        <v>745</v>
      </c>
      <c r="B127" s="39" t="s">
        <v>170</v>
      </c>
      <c r="C127" s="39">
        <v>4.0000000000000001E-3</v>
      </c>
      <c r="D127" s="39" t="s">
        <v>171</v>
      </c>
      <c r="E127" s="39">
        <v>6.0000000000000001E-3</v>
      </c>
      <c r="F127" s="62" t="s">
        <v>172</v>
      </c>
      <c r="G127" s="62">
        <v>8.0000000000000002E-3</v>
      </c>
      <c r="H127" s="62"/>
      <c r="I127" s="62"/>
    </row>
    <row r="128" spans="1:37" ht="14.25" customHeight="1" x14ac:dyDescent="0.45">
      <c r="A128" s="39" t="s">
        <v>746</v>
      </c>
      <c r="B128" s="82">
        <v>2</v>
      </c>
      <c r="C128" s="82">
        <v>75</v>
      </c>
      <c r="D128" s="82">
        <v>39</v>
      </c>
      <c r="E128" s="39" t="s">
        <v>747</v>
      </c>
      <c r="F128" s="62"/>
      <c r="G128" s="62"/>
      <c r="H128" s="62"/>
      <c r="I128" s="62"/>
    </row>
    <row r="129" spans="1:14" ht="14.25" customHeight="1" x14ac:dyDescent="0.45">
      <c r="A129" s="75" t="s">
        <v>748</v>
      </c>
      <c r="B129" s="90">
        <v>2</v>
      </c>
      <c r="C129" s="90">
        <v>125</v>
      </c>
      <c r="D129" s="90">
        <v>49</v>
      </c>
      <c r="E129" s="75" t="s">
        <v>749</v>
      </c>
      <c r="F129" s="67"/>
      <c r="G129" s="67"/>
      <c r="H129" s="67"/>
      <c r="I129" s="67"/>
    </row>
    <row r="130" spans="1:14" ht="14.25" customHeight="1" x14ac:dyDescent="0.45">
      <c r="A130" s="39" t="s">
        <v>750</v>
      </c>
      <c r="B130" s="82">
        <v>3</v>
      </c>
      <c r="C130" s="82">
        <v>50</v>
      </c>
      <c r="D130" s="82">
        <v>39</v>
      </c>
      <c r="E130" s="62"/>
      <c r="F130" s="62"/>
      <c r="G130" s="62"/>
      <c r="H130" s="62"/>
      <c r="I130" s="62"/>
    </row>
    <row r="131" spans="1:14" ht="14.25" customHeight="1" x14ac:dyDescent="0.45">
      <c r="A131" s="39" t="s">
        <v>751</v>
      </c>
      <c r="B131" s="62"/>
      <c r="C131" s="62"/>
      <c r="D131" s="62"/>
      <c r="E131" s="62"/>
      <c r="F131" s="62"/>
      <c r="G131" s="62"/>
      <c r="H131" s="62"/>
      <c r="I131" s="62"/>
    </row>
    <row r="132" spans="1:14" ht="14.25" customHeight="1" x14ac:dyDescent="0.45">
      <c r="A132" s="39" t="s">
        <v>66</v>
      </c>
      <c r="B132" s="39" t="s">
        <v>26</v>
      </c>
      <c r="C132" s="39" t="s">
        <v>27</v>
      </c>
      <c r="D132" s="39" t="s">
        <v>28</v>
      </c>
      <c r="E132" s="39" t="s">
        <v>29</v>
      </c>
      <c r="F132" s="39" t="s">
        <v>30</v>
      </c>
      <c r="G132" s="39" t="s">
        <v>31</v>
      </c>
      <c r="H132" s="39" t="s">
        <v>32</v>
      </c>
      <c r="I132" s="39" t="s">
        <v>33</v>
      </c>
      <c r="J132" t="s">
        <v>34</v>
      </c>
      <c r="K132" t="s">
        <v>35</v>
      </c>
      <c r="L132" t="s">
        <v>36</v>
      </c>
      <c r="M132" t="s">
        <v>37</v>
      </c>
    </row>
    <row r="133" spans="1:14" ht="14.25" customHeight="1" x14ac:dyDescent="0.45">
      <c r="A133" s="39" t="s">
        <v>752</v>
      </c>
      <c r="B133" s="82">
        <v>1</v>
      </c>
      <c r="C133" s="82">
        <v>1</v>
      </c>
      <c r="D133" s="82">
        <v>1</v>
      </c>
      <c r="E133" s="82">
        <v>2</v>
      </c>
      <c r="F133" s="82">
        <v>2</v>
      </c>
      <c r="G133" s="82">
        <v>2</v>
      </c>
      <c r="H133" s="82">
        <v>2</v>
      </c>
      <c r="I133" s="82">
        <v>2</v>
      </c>
      <c r="J133">
        <v>2</v>
      </c>
      <c r="K133">
        <v>2</v>
      </c>
      <c r="L133">
        <v>2</v>
      </c>
      <c r="M133">
        <v>2</v>
      </c>
    </row>
    <row r="134" spans="1:14" ht="14.25" customHeight="1" x14ac:dyDescent="0.45">
      <c r="A134" s="75" t="s">
        <v>753</v>
      </c>
      <c r="B134" s="75">
        <f t="shared" ref="B134:M134" si="2">B133*$C$128</f>
        <v>75</v>
      </c>
      <c r="C134" s="75">
        <f t="shared" si="2"/>
        <v>75</v>
      </c>
      <c r="D134" s="75">
        <f t="shared" si="2"/>
        <v>75</v>
      </c>
      <c r="E134" s="75">
        <f t="shared" si="2"/>
        <v>150</v>
      </c>
      <c r="F134" s="75">
        <f t="shared" si="2"/>
        <v>150</v>
      </c>
      <c r="G134" s="75">
        <f t="shared" si="2"/>
        <v>150</v>
      </c>
      <c r="H134" s="75">
        <f t="shared" si="2"/>
        <v>150</v>
      </c>
      <c r="I134" s="75">
        <f t="shared" si="2"/>
        <v>150</v>
      </c>
      <c r="J134">
        <f t="shared" si="2"/>
        <v>150</v>
      </c>
      <c r="K134">
        <f t="shared" si="2"/>
        <v>150</v>
      </c>
      <c r="L134">
        <f t="shared" si="2"/>
        <v>150</v>
      </c>
      <c r="M134">
        <f t="shared" si="2"/>
        <v>150</v>
      </c>
    </row>
    <row r="135" spans="1:14" ht="14.25" customHeight="1" x14ac:dyDescent="0.45">
      <c r="A135" s="39" t="s">
        <v>754</v>
      </c>
      <c r="B135" s="39">
        <f t="shared" ref="B135:M135" si="3">B134*$D$128</f>
        <v>2925</v>
      </c>
      <c r="C135" s="39">
        <f t="shared" si="3"/>
        <v>2925</v>
      </c>
      <c r="D135" s="39">
        <f t="shared" si="3"/>
        <v>2925</v>
      </c>
      <c r="E135" s="39">
        <f t="shared" si="3"/>
        <v>5850</v>
      </c>
      <c r="F135" s="39">
        <f t="shared" si="3"/>
        <v>5850</v>
      </c>
      <c r="G135" s="39">
        <f t="shared" si="3"/>
        <v>5850</v>
      </c>
      <c r="H135" s="39">
        <f t="shared" si="3"/>
        <v>5850</v>
      </c>
      <c r="I135" s="39">
        <f t="shared" si="3"/>
        <v>5850</v>
      </c>
      <c r="J135">
        <f t="shared" si="3"/>
        <v>5850</v>
      </c>
      <c r="K135">
        <f t="shared" si="3"/>
        <v>5850</v>
      </c>
      <c r="L135">
        <f t="shared" si="3"/>
        <v>5850</v>
      </c>
      <c r="M135">
        <f t="shared" si="3"/>
        <v>5850</v>
      </c>
    </row>
    <row r="136" spans="1:14" x14ac:dyDescent="0.45">
      <c r="A136" s="39"/>
      <c r="B136" s="62"/>
      <c r="C136" s="62"/>
      <c r="D136" s="62"/>
      <c r="E136" s="62"/>
      <c r="F136" s="62"/>
      <c r="G136" s="62"/>
      <c r="H136" s="62"/>
      <c r="I136" s="62"/>
    </row>
    <row r="137" spans="1:14" ht="14.25" customHeight="1" x14ac:dyDescent="0.45">
      <c r="A137" s="39" t="s">
        <v>755</v>
      </c>
      <c r="B137" s="82">
        <v>0</v>
      </c>
      <c r="C137" s="82">
        <v>0</v>
      </c>
      <c r="D137" s="82">
        <v>0</v>
      </c>
      <c r="E137" s="82">
        <v>0</v>
      </c>
      <c r="F137" s="82">
        <v>0</v>
      </c>
      <c r="G137" s="82">
        <v>0</v>
      </c>
      <c r="H137" s="82">
        <v>1</v>
      </c>
      <c r="I137" s="82">
        <v>1</v>
      </c>
      <c r="J137">
        <v>1</v>
      </c>
      <c r="K137">
        <v>2</v>
      </c>
      <c r="L137">
        <v>2</v>
      </c>
      <c r="M137">
        <v>2</v>
      </c>
    </row>
    <row r="138" spans="1:14" ht="14.25" customHeight="1" x14ac:dyDescent="0.45">
      <c r="A138" s="75" t="s">
        <v>756</v>
      </c>
      <c r="B138" s="75">
        <f t="shared" ref="B138:M138" si="4">B137*$C$129</f>
        <v>0</v>
      </c>
      <c r="C138" s="75">
        <f t="shared" si="4"/>
        <v>0</v>
      </c>
      <c r="D138" s="75">
        <f t="shared" si="4"/>
        <v>0</v>
      </c>
      <c r="E138" s="75">
        <f t="shared" si="4"/>
        <v>0</v>
      </c>
      <c r="F138" s="75">
        <f t="shared" si="4"/>
        <v>0</v>
      </c>
      <c r="G138" s="75">
        <f t="shared" si="4"/>
        <v>0</v>
      </c>
      <c r="H138" s="75">
        <f t="shared" si="4"/>
        <v>125</v>
      </c>
      <c r="I138" s="75">
        <f t="shared" si="4"/>
        <v>125</v>
      </c>
      <c r="J138">
        <f t="shared" si="4"/>
        <v>125</v>
      </c>
      <c r="K138">
        <f t="shared" si="4"/>
        <v>250</v>
      </c>
      <c r="L138">
        <f t="shared" si="4"/>
        <v>250</v>
      </c>
      <c r="M138">
        <f t="shared" si="4"/>
        <v>250</v>
      </c>
    </row>
    <row r="139" spans="1:14" ht="14.25" customHeight="1" x14ac:dyDescent="0.45">
      <c r="A139" s="39" t="s">
        <v>757</v>
      </c>
      <c r="B139" s="39">
        <f t="shared" ref="B139:M139" si="5">B138*$D$129</f>
        <v>0</v>
      </c>
      <c r="C139" s="39">
        <f t="shared" si="5"/>
        <v>0</v>
      </c>
      <c r="D139" s="39">
        <f t="shared" si="5"/>
        <v>0</v>
      </c>
      <c r="E139" s="39">
        <f t="shared" si="5"/>
        <v>0</v>
      </c>
      <c r="F139" s="39">
        <f t="shared" si="5"/>
        <v>0</v>
      </c>
      <c r="G139" s="39">
        <f t="shared" si="5"/>
        <v>0</v>
      </c>
      <c r="H139" s="39">
        <f t="shared" si="5"/>
        <v>6125</v>
      </c>
      <c r="I139" s="39">
        <f t="shared" si="5"/>
        <v>6125</v>
      </c>
      <c r="J139">
        <f t="shared" si="5"/>
        <v>6125</v>
      </c>
      <c r="K139">
        <f t="shared" si="5"/>
        <v>12250</v>
      </c>
      <c r="L139">
        <f t="shared" si="5"/>
        <v>12250</v>
      </c>
      <c r="M139">
        <f t="shared" si="5"/>
        <v>12250</v>
      </c>
    </row>
    <row r="140" spans="1:14" ht="14.25" customHeight="1" x14ac:dyDescent="0.45">
      <c r="A140" s="39" t="s">
        <v>758</v>
      </c>
      <c r="B140" s="82">
        <v>1</v>
      </c>
      <c r="C140" s="82">
        <v>1</v>
      </c>
      <c r="D140" s="82">
        <v>1</v>
      </c>
      <c r="E140" s="82">
        <v>2</v>
      </c>
      <c r="F140" s="82">
        <v>2</v>
      </c>
      <c r="G140" s="82">
        <v>2</v>
      </c>
      <c r="H140" s="82">
        <v>3</v>
      </c>
      <c r="I140" s="82">
        <v>3</v>
      </c>
      <c r="J140">
        <v>3</v>
      </c>
      <c r="K140">
        <v>3</v>
      </c>
      <c r="L140">
        <v>3</v>
      </c>
      <c r="M140">
        <v>3</v>
      </c>
      <c r="N140">
        <f>M140</f>
        <v>3</v>
      </c>
    </row>
    <row r="141" spans="1:14" ht="14.25" customHeight="1" x14ac:dyDescent="0.45">
      <c r="A141" s="75" t="s">
        <v>759</v>
      </c>
      <c r="B141" s="75">
        <f t="shared" ref="B141:M141" si="6">B140*$C$130</f>
        <v>50</v>
      </c>
      <c r="C141" s="75">
        <f t="shared" si="6"/>
        <v>50</v>
      </c>
      <c r="D141" s="75">
        <f t="shared" si="6"/>
        <v>50</v>
      </c>
      <c r="E141" s="75">
        <f t="shared" si="6"/>
        <v>100</v>
      </c>
      <c r="F141" s="75">
        <f t="shared" si="6"/>
        <v>100</v>
      </c>
      <c r="G141" s="75">
        <f t="shared" si="6"/>
        <v>100</v>
      </c>
      <c r="H141" s="75">
        <f t="shared" si="6"/>
        <v>150</v>
      </c>
      <c r="I141" s="75">
        <f t="shared" si="6"/>
        <v>150</v>
      </c>
      <c r="J141">
        <f t="shared" si="6"/>
        <v>150</v>
      </c>
      <c r="K141">
        <f t="shared" si="6"/>
        <v>150</v>
      </c>
      <c r="L141">
        <f t="shared" si="6"/>
        <v>150</v>
      </c>
      <c r="M141">
        <f t="shared" si="6"/>
        <v>150</v>
      </c>
    </row>
    <row r="142" spans="1:14" ht="14.25" customHeight="1" x14ac:dyDescent="0.45">
      <c r="A142" s="39" t="s">
        <v>760</v>
      </c>
      <c r="B142" s="39">
        <f t="shared" ref="B142:M142" si="7">B141*$D$130</f>
        <v>1950</v>
      </c>
      <c r="C142" s="39">
        <f t="shared" si="7"/>
        <v>1950</v>
      </c>
      <c r="D142" s="39">
        <f t="shared" si="7"/>
        <v>1950</v>
      </c>
      <c r="E142" s="39">
        <f t="shared" si="7"/>
        <v>3900</v>
      </c>
      <c r="F142" s="39">
        <f t="shared" si="7"/>
        <v>3900</v>
      </c>
      <c r="G142" s="39">
        <f t="shared" si="7"/>
        <v>3900</v>
      </c>
      <c r="H142" s="39">
        <f t="shared" si="7"/>
        <v>5850</v>
      </c>
      <c r="I142" s="39">
        <f t="shared" si="7"/>
        <v>5850</v>
      </c>
      <c r="J142">
        <f t="shared" si="7"/>
        <v>5850</v>
      </c>
      <c r="K142">
        <f t="shared" si="7"/>
        <v>5850</v>
      </c>
      <c r="L142">
        <f t="shared" si="7"/>
        <v>5850</v>
      </c>
      <c r="M142">
        <f t="shared" si="7"/>
        <v>5850</v>
      </c>
    </row>
    <row r="143" spans="1:14" x14ac:dyDescent="0.45">
      <c r="A143" s="39"/>
      <c r="B143" s="62"/>
      <c r="C143" s="62"/>
      <c r="D143" s="62"/>
      <c r="E143" s="62"/>
      <c r="F143" s="62"/>
      <c r="G143" s="62"/>
      <c r="H143" s="62"/>
      <c r="I143" s="62"/>
    </row>
    <row r="144" spans="1:14" ht="14.25" customHeight="1" x14ac:dyDescent="0.45">
      <c r="A144" s="39" t="s">
        <v>761</v>
      </c>
      <c r="B144" s="39">
        <f t="shared" ref="B144:M144" si="8">B133+B137+B140</f>
        <v>2</v>
      </c>
      <c r="C144" s="39">
        <f t="shared" si="8"/>
        <v>2</v>
      </c>
      <c r="D144" s="39">
        <f t="shared" si="8"/>
        <v>2</v>
      </c>
      <c r="E144" s="39">
        <f t="shared" si="8"/>
        <v>4</v>
      </c>
      <c r="F144" s="39">
        <f t="shared" si="8"/>
        <v>4</v>
      </c>
      <c r="G144" s="39">
        <f t="shared" si="8"/>
        <v>4</v>
      </c>
      <c r="H144" s="39">
        <f t="shared" si="8"/>
        <v>6</v>
      </c>
      <c r="I144" s="39">
        <f t="shared" si="8"/>
        <v>6</v>
      </c>
      <c r="J144">
        <f t="shared" si="8"/>
        <v>6</v>
      </c>
      <c r="K144">
        <f t="shared" si="8"/>
        <v>7</v>
      </c>
      <c r="L144">
        <f t="shared" si="8"/>
        <v>7</v>
      </c>
      <c r="M144">
        <f t="shared" si="8"/>
        <v>7</v>
      </c>
    </row>
    <row r="145" spans="1:13" ht="14.25" customHeight="1" x14ac:dyDescent="0.45">
      <c r="A145" s="75" t="s">
        <v>762</v>
      </c>
      <c r="B145" s="75">
        <f t="shared" ref="B145:M145" si="9">B134+B138+B141</f>
        <v>125</v>
      </c>
      <c r="C145" s="75">
        <f t="shared" si="9"/>
        <v>125</v>
      </c>
      <c r="D145" s="75">
        <f t="shared" si="9"/>
        <v>125</v>
      </c>
      <c r="E145" s="75">
        <f t="shared" si="9"/>
        <v>250</v>
      </c>
      <c r="F145" s="75">
        <f t="shared" si="9"/>
        <v>250</v>
      </c>
      <c r="G145" s="75">
        <f t="shared" si="9"/>
        <v>250</v>
      </c>
      <c r="H145" s="75">
        <f t="shared" si="9"/>
        <v>425</v>
      </c>
      <c r="I145" s="75">
        <f t="shared" si="9"/>
        <v>425</v>
      </c>
      <c r="J145">
        <f t="shared" si="9"/>
        <v>425</v>
      </c>
      <c r="K145">
        <f t="shared" si="9"/>
        <v>550</v>
      </c>
      <c r="L145">
        <f t="shared" si="9"/>
        <v>550</v>
      </c>
      <c r="M145">
        <f t="shared" si="9"/>
        <v>550</v>
      </c>
    </row>
    <row r="146" spans="1:13" ht="14.25" customHeight="1" x14ac:dyDescent="0.45">
      <c r="A146" s="39" t="s">
        <v>763</v>
      </c>
      <c r="B146" s="39">
        <f t="shared" ref="B146:M146" si="10">B135+B139+B142</f>
        <v>4875</v>
      </c>
      <c r="C146" s="39">
        <f t="shared" si="10"/>
        <v>4875</v>
      </c>
      <c r="D146" s="39">
        <f t="shared" si="10"/>
        <v>4875</v>
      </c>
      <c r="E146" s="39">
        <f t="shared" si="10"/>
        <v>9750</v>
      </c>
      <c r="F146" s="39">
        <f t="shared" si="10"/>
        <v>9750</v>
      </c>
      <c r="G146" s="39">
        <f t="shared" si="10"/>
        <v>9750</v>
      </c>
      <c r="H146" s="39">
        <f t="shared" si="10"/>
        <v>17825</v>
      </c>
      <c r="I146" s="39">
        <f t="shared" si="10"/>
        <v>17825</v>
      </c>
      <c r="J146">
        <f t="shared" si="10"/>
        <v>17825</v>
      </c>
      <c r="K146">
        <f t="shared" si="10"/>
        <v>23950</v>
      </c>
      <c r="L146">
        <f t="shared" si="10"/>
        <v>23950</v>
      </c>
      <c r="M146">
        <f t="shared" si="10"/>
        <v>23950</v>
      </c>
    </row>
    <row r="147" spans="1:13" ht="14.25" customHeight="1" x14ac:dyDescent="0.45">
      <c r="A147" s="39" t="s">
        <v>764</v>
      </c>
      <c r="B147" s="82">
        <v>0</v>
      </c>
      <c r="C147" s="82">
        <v>0</v>
      </c>
      <c r="D147" s="82">
        <v>1</v>
      </c>
      <c r="E147" s="82">
        <v>1</v>
      </c>
      <c r="F147" s="82">
        <v>1</v>
      </c>
      <c r="G147" s="82">
        <v>2</v>
      </c>
      <c r="H147" s="82">
        <v>2</v>
      </c>
      <c r="I147" s="82">
        <v>2</v>
      </c>
      <c r="J147">
        <v>3</v>
      </c>
      <c r="K147">
        <v>3</v>
      </c>
      <c r="L147">
        <v>3</v>
      </c>
      <c r="M147">
        <v>3</v>
      </c>
    </row>
    <row r="148" spans="1:13" ht="14.25" customHeight="1" x14ac:dyDescent="0.45">
      <c r="A148" s="75" t="s">
        <v>765</v>
      </c>
      <c r="B148" s="75">
        <f t="shared" ref="B148:M148" si="11">B147*50</f>
        <v>0</v>
      </c>
      <c r="C148" s="75">
        <f t="shared" si="11"/>
        <v>0</v>
      </c>
      <c r="D148" s="75">
        <f t="shared" si="11"/>
        <v>50</v>
      </c>
      <c r="E148" s="75">
        <f t="shared" si="11"/>
        <v>50</v>
      </c>
      <c r="F148" s="75">
        <f t="shared" si="11"/>
        <v>50</v>
      </c>
      <c r="G148" s="75">
        <f t="shared" si="11"/>
        <v>100</v>
      </c>
      <c r="H148" s="75">
        <f t="shared" si="11"/>
        <v>100</v>
      </c>
      <c r="I148" s="75">
        <f t="shared" si="11"/>
        <v>100</v>
      </c>
      <c r="J148">
        <f t="shared" si="11"/>
        <v>150</v>
      </c>
      <c r="K148">
        <f t="shared" si="11"/>
        <v>150</v>
      </c>
      <c r="L148">
        <f t="shared" si="11"/>
        <v>150</v>
      </c>
      <c r="M148">
        <f t="shared" si="11"/>
        <v>150</v>
      </c>
    </row>
    <row r="149" spans="1:13" ht="14.25" customHeight="1" x14ac:dyDescent="0.45">
      <c r="A149" s="39" t="s">
        <v>766</v>
      </c>
      <c r="B149" s="62"/>
      <c r="C149" s="62"/>
      <c r="D149" s="62"/>
      <c r="E149" s="62"/>
      <c r="F149" s="62"/>
      <c r="G149" s="62"/>
      <c r="H149" s="62"/>
      <c r="I149" s="62"/>
    </row>
    <row r="150" spans="1:13" ht="14.25" customHeight="1" x14ac:dyDescent="0.45">
      <c r="A150" s="39" t="s">
        <v>66</v>
      </c>
      <c r="B150" s="39" t="s">
        <v>14</v>
      </c>
      <c r="C150" s="39" t="s">
        <v>15</v>
      </c>
      <c r="D150" s="39" t="s">
        <v>16</v>
      </c>
      <c r="E150" s="39" t="s">
        <v>17</v>
      </c>
      <c r="F150" s="39" t="s">
        <v>18</v>
      </c>
      <c r="G150" s="39" t="s">
        <v>19</v>
      </c>
      <c r="H150" s="39" t="s">
        <v>20</v>
      </c>
      <c r="I150" s="39" t="s">
        <v>21</v>
      </c>
      <c r="J150" t="s">
        <v>22</v>
      </c>
      <c r="K150" t="s">
        <v>23</v>
      </c>
      <c r="L150" t="s">
        <v>24</v>
      </c>
      <c r="M150" t="s">
        <v>25</v>
      </c>
    </row>
    <row r="151" spans="1:13" ht="14.25" customHeight="1" x14ac:dyDescent="0.45">
      <c r="A151" s="39" t="s">
        <v>767</v>
      </c>
      <c r="B151" s="82">
        <v>0</v>
      </c>
      <c r="C151" s="82">
        <v>0</v>
      </c>
      <c r="D151" s="82">
        <v>1</v>
      </c>
      <c r="E151" s="82">
        <v>1</v>
      </c>
      <c r="F151" s="82">
        <v>1</v>
      </c>
      <c r="G151" s="82">
        <v>2</v>
      </c>
      <c r="H151" s="82">
        <v>2</v>
      </c>
      <c r="I151" s="82">
        <v>2</v>
      </c>
      <c r="J151">
        <v>3</v>
      </c>
      <c r="K151">
        <v>3</v>
      </c>
      <c r="L151">
        <v>3</v>
      </c>
      <c r="M151">
        <v>3</v>
      </c>
    </row>
    <row r="152" spans="1:13" ht="14.25" customHeight="1" x14ac:dyDescent="0.45">
      <c r="A152" s="75" t="s">
        <v>768</v>
      </c>
      <c r="B152" s="75">
        <f t="shared" ref="B152:M152" si="12">B151*50</f>
        <v>0</v>
      </c>
      <c r="C152" s="75">
        <f t="shared" si="12"/>
        <v>0</v>
      </c>
      <c r="D152" s="75">
        <f t="shared" si="12"/>
        <v>50</v>
      </c>
      <c r="E152" s="75">
        <f t="shared" si="12"/>
        <v>50</v>
      </c>
      <c r="F152" s="75">
        <f t="shared" si="12"/>
        <v>50</v>
      </c>
      <c r="G152" s="75">
        <f t="shared" si="12"/>
        <v>100</v>
      </c>
      <c r="H152" s="75">
        <f t="shared" si="12"/>
        <v>100</v>
      </c>
      <c r="I152" s="75">
        <f t="shared" si="12"/>
        <v>100</v>
      </c>
      <c r="J152">
        <f t="shared" si="12"/>
        <v>150</v>
      </c>
      <c r="K152">
        <f t="shared" si="12"/>
        <v>150</v>
      </c>
      <c r="L152">
        <f t="shared" si="12"/>
        <v>150</v>
      </c>
      <c r="M152">
        <f t="shared" si="12"/>
        <v>150</v>
      </c>
    </row>
    <row r="153" spans="1:13" x14ac:dyDescent="0.45">
      <c r="A153" s="39"/>
      <c r="B153" s="62"/>
      <c r="C153" s="62"/>
      <c r="D153" s="62"/>
      <c r="E153" s="62"/>
      <c r="F153" s="62"/>
      <c r="G153" s="62"/>
      <c r="H153" s="62"/>
      <c r="I153" s="62"/>
    </row>
    <row r="154" spans="1:13" x14ac:dyDescent="0.45">
      <c r="A154" s="39"/>
      <c r="B154" s="62"/>
      <c r="C154" s="62"/>
      <c r="D154" s="62"/>
      <c r="E154" s="62"/>
      <c r="F154" s="62"/>
      <c r="G154" s="62"/>
      <c r="H154" s="62"/>
      <c r="I154" s="62"/>
    </row>
    <row r="155" spans="1:13" x14ac:dyDescent="0.45">
      <c r="A155" s="39"/>
      <c r="B155" s="62"/>
      <c r="C155" s="62"/>
      <c r="D155" s="62"/>
      <c r="E155" s="62"/>
      <c r="F155" s="62"/>
      <c r="G155" s="62"/>
      <c r="H155" s="62"/>
      <c r="I155" s="62"/>
    </row>
    <row r="156" spans="1:13" x14ac:dyDescent="0.45">
      <c r="A156" s="39"/>
      <c r="B156" s="62"/>
      <c r="C156" s="62"/>
      <c r="D156" s="62"/>
      <c r="E156" s="62"/>
      <c r="F156" s="62"/>
      <c r="G156" s="62"/>
      <c r="H156" s="62"/>
      <c r="I156" s="62"/>
    </row>
    <row r="157" spans="1:13" x14ac:dyDescent="0.45">
      <c r="A157" s="39"/>
      <c r="B157" s="62"/>
      <c r="C157" s="62"/>
      <c r="D157" s="62"/>
      <c r="E157" s="62"/>
      <c r="F157" s="62"/>
      <c r="G157" s="62"/>
      <c r="H157" s="62"/>
      <c r="I157" s="62"/>
    </row>
    <row r="158" spans="1:13" x14ac:dyDescent="0.45">
      <c r="A158" s="39"/>
      <c r="B158" s="62"/>
      <c r="C158" s="62"/>
      <c r="D158" s="62"/>
      <c r="E158" s="62"/>
      <c r="F158" s="62"/>
      <c r="G158" s="62"/>
      <c r="H158" s="62"/>
      <c r="I158" s="62"/>
    </row>
    <row r="159" spans="1:13" x14ac:dyDescent="0.45">
      <c r="A159" s="39"/>
      <c r="B159" s="62"/>
      <c r="C159" s="62"/>
      <c r="D159" s="62"/>
      <c r="E159" s="62"/>
      <c r="F159" s="62"/>
      <c r="G159" s="62"/>
      <c r="H159" s="62"/>
      <c r="I159" s="62"/>
    </row>
    <row r="160" spans="1:13" x14ac:dyDescent="0.45">
      <c r="A160" s="39"/>
      <c r="B160" s="62"/>
      <c r="C160" s="62"/>
      <c r="D160" s="62"/>
      <c r="E160" s="62"/>
      <c r="F160" s="62"/>
      <c r="G160" s="62"/>
      <c r="H160" s="62"/>
      <c r="I160" s="62"/>
    </row>
    <row r="161" spans="1:37" x14ac:dyDescent="0.45">
      <c r="A161" s="39"/>
      <c r="B161" s="62"/>
      <c r="C161" s="62"/>
      <c r="D161" s="62"/>
      <c r="E161" s="62"/>
      <c r="F161" s="62"/>
      <c r="G161" s="62"/>
      <c r="H161" s="62"/>
      <c r="I161" s="62"/>
    </row>
    <row r="162" spans="1:37" x14ac:dyDescent="0.45">
      <c r="A162" s="39"/>
      <c r="B162" s="62"/>
      <c r="C162" s="62"/>
      <c r="D162" s="62"/>
      <c r="E162" s="62"/>
      <c r="F162" s="62"/>
      <c r="G162" s="62"/>
      <c r="H162" s="62"/>
      <c r="I162" s="62"/>
    </row>
    <row r="163" spans="1:37" x14ac:dyDescent="0.45">
      <c r="A163" s="39"/>
      <c r="B163" s="62"/>
      <c r="C163" s="62"/>
      <c r="D163" s="62"/>
      <c r="E163" s="62"/>
      <c r="F163" s="62"/>
      <c r="G163" s="62"/>
      <c r="H163" s="62"/>
      <c r="I163" s="62"/>
    </row>
    <row r="164" spans="1:37" x14ac:dyDescent="0.45">
      <c r="A164" s="39"/>
      <c r="B164" s="62"/>
      <c r="C164" s="62"/>
      <c r="D164" s="62"/>
      <c r="E164" s="62"/>
      <c r="F164" s="62"/>
      <c r="G164" s="62"/>
      <c r="H164" s="62"/>
      <c r="I164" s="62"/>
    </row>
    <row r="165" spans="1:37" ht="14.25" customHeight="1" x14ac:dyDescent="0.45">
      <c r="A165" s="39" t="s">
        <v>769</v>
      </c>
      <c r="B165" s="62"/>
      <c r="C165" s="62"/>
      <c r="D165" s="62"/>
      <c r="E165" s="62"/>
      <c r="F165" s="62"/>
      <c r="G165" s="62"/>
      <c r="H165" s="62"/>
      <c r="I165" s="62"/>
    </row>
    <row r="166" spans="1:37" ht="14.25" customHeight="1" x14ac:dyDescent="0.45">
      <c r="A166" s="39" t="s">
        <v>66</v>
      </c>
      <c r="B166" s="39" t="s">
        <v>67</v>
      </c>
      <c r="C166" s="39" t="s">
        <v>68</v>
      </c>
      <c r="D166" s="39" t="s">
        <v>69</v>
      </c>
      <c r="E166" s="39" t="s">
        <v>70</v>
      </c>
      <c r="F166" s="39" t="s">
        <v>71</v>
      </c>
      <c r="G166" s="39" t="s">
        <v>72</v>
      </c>
      <c r="H166" s="39" t="s">
        <v>73</v>
      </c>
      <c r="I166" s="39" t="s">
        <v>74</v>
      </c>
      <c r="J166" t="s">
        <v>75</v>
      </c>
      <c r="K166" t="s">
        <v>76</v>
      </c>
      <c r="L166" t="s">
        <v>77</v>
      </c>
      <c r="M166" t="s">
        <v>78</v>
      </c>
      <c r="N166" t="s">
        <v>79</v>
      </c>
      <c r="O166" t="s">
        <v>80</v>
      </c>
      <c r="P166" t="s">
        <v>81</v>
      </c>
      <c r="Q166" t="s">
        <v>82</v>
      </c>
      <c r="R166" t="s">
        <v>83</v>
      </c>
      <c r="S166" t="s">
        <v>84</v>
      </c>
      <c r="T166" t="s">
        <v>85</v>
      </c>
      <c r="U166" t="s">
        <v>86</v>
      </c>
      <c r="V166" t="s">
        <v>87</v>
      </c>
      <c r="W166" t="s">
        <v>88</v>
      </c>
      <c r="X166" t="s">
        <v>89</v>
      </c>
      <c r="Y166" t="s">
        <v>90</v>
      </c>
      <c r="Z166" t="s">
        <v>91</v>
      </c>
      <c r="AA166" t="s">
        <v>92</v>
      </c>
      <c r="AB166" t="s">
        <v>93</v>
      </c>
      <c r="AC166" t="s">
        <v>94</v>
      </c>
      <c r="AD166" t="s">
        <v>95</v>
      </c>
      <c r="AE166" t="s">
        <v>96</v>
      </c>
      <c r="AF166" t="s">
        <v>97</v>
      </c>
      <c r="AG166" t="s">
        <v>98</v>
      </c>
      <c r="AH166" t="s">
        <v>99</v>
      </c>
      <c r="AI166" t="s">
        <v>100</v>
      </c>
      <c r="AJ166" t="s">
        <v>101</v>
      </c>
      <c r="AK166" t="s">
        <v>102</v>
      </c>
    </row>
    <row r="167" spans="1:37" ht="14.25" customHeight="1" x14ac:dyDescent="0.45">
      <c r="A167" s="39" t="s">
        <v>770</v>
      </c>
      <c r="B167" s="39">
        <f>IF(AND(1&gt;=4,1&lt;=24),1,0)</f>
        <v>0</v>
      </c>
      <c r="C167" s="39">
        <f>IF(AND(2&gt;=4,2&lt;=24),1,0)</f>
        <v>0</v>
      </c>
      <c r="D167" s="39">
        <f>IF(AND(3&gt;=4,3&lt;=24),1,0)</f>
        <v>0</v>
      </c>
      <c r="E167" s="39">
        <f>IF(AND(4&gt;=4,4&lt;=24),1,0)</f>
        <v>1</v>
      </c>
      <c r="F167" s="39">
        <f>IF(AND(5&gt;=4,5&lt;=24),1,0)</f>
        <v>1</v>
      </c>
      <c r="G167" s="39">
        <f>IF(AND(6&gt;=4,6&lt;=24),1,0)</f>
        <v>1</v>
      </c>
      <c r="H167" s="39">
        <f>IF(AND(7&gt;=4,7&lt;=24),1,0)</f>
        <v>1</v>
      </c>
      <c r="I167" s="39">
        <f>IF(AND(8&gt;=4,8&lt;=24),1,0)</f>
        <v>1</v>
      </c>
      <c r="J167">
        <f>IF(AND(9&gt;=4,9&lt;=24),1,0)</f>
        <v>1</v>
      </c>
      <c r="K167">
        <f>IF(AND(10&gt;=4,10&lt;=24),1,0)</f>
        <v>1</v>
      </c>
      <c r="L167">
        <f>IF(AND(11&gt;=4,11&lt;=24),1,0)</f>
        <v>1</v>
      </c>
      <c r="M167">
        <f>IF(AND(12&gt;=4,12&lt;=24),1,0)</f>
        <v>1</v>
      </c>
      <c r="N167">
        <f>IF(AND(13&gt;=4,13&lt;=24),1,0)</f>
        <v>1</v>
      </c>
      <c r="O167">
        <f>IF(AND(14&gt;=4,14&lt;=24),1,0)</f>
        <v>1</v>
      </c>
      <c r="P167">
        <f>IF(AND(15&gt;=4,15&lt;=24),1,0)</f>
        <v>1</v>
      </c>
      <c r="Q167">
        <f>IF(AND(16&gt;=4,16&lt;=24),1,0)</f>
        <v>1</v>
      </c>
      <c r="R167">
        <f>IF(AND(17&gt;=4,17&lt;=24),1,0)</f>
        <v>1</v>
      </c>
      <c r="S167">
        <f>IF(AND(18&gt;=4,18&lt;=24),1,0)</f>
        <v>1</v>
      </c>
      <c r="T167">
        <f>IF(AND(19&gt;=4,19&lt;=24),1,0)</f>
        <v>1</v>
      </c>
      <c r="U167">
        <f>IF(AND(20&gt;=4,20&lt;=24),1,0)</f>
        <v>1</v>
      </c>
      <c r="V167">
        <f>IF(AND(21&gt;=4,21&lt;=24),1,0)</f>
        <v>1</v>
      </c>
      <c r="W167">
        <f>IF(AND(22&gt;=4,22&lt;=24),1,0)</f>
        <v>1</v>
      </c>
      <c r="X167">
        <f>IF(AND(23&gt;=4,23&lt;=24),1,0)</f>
        <v>1</v>
      </c>
      <c r="Y167">
        <f>IF(AND(24&gt;=4,24&lt;=24),1,0)</f>
        <v>1</v>
      </c>
      <c r="Z167">
        <f>IF(AND(25&gt;=4,25&lt;=24),1,0)</f>
        <v>0</v>
      </c>
      <c r="AA167">
        <f>IF(AND(26&gt;=4,26&lt;=24),1,0)</f>
        <v>0</v>
      </c>
      <c r="AB167">
        <f>IF(AND(27&gt;=4,27&lt;=24),1,0)</f>
        <v>0</v>
      </c>
      <c r="AC167">
        <f>IF(AND(28&gt;=4,28&lt;=24),1,0)</f>
        <v>0</v>
      </c>
      <c r="AD167">
        <f>IF(AND(29&gt;=4,29&lt;=24),1,0)</f>
        <v>0</v>
      </c>
      <c r="AE167">
        <f>IF(AND(30&gt;=4,30&lt;=24),1,0)</f>
        <v>0</v>
      </c>
      <c r="AF167">
        <f>IF(AND(31&gt;=4,31&lt;=24),1,0)</f>
        <v>0</v>
      </c>
      <c r="AG167">
        <f>IF(AND(32&gt;=4,32&lt;=24),1,0)</f>
        <v>0</v>
      </c>
      <c r="AH167">
        <f>IF(AND(33&gt;=4,33&lt;=24),1,0)</f>
        <v>0</v>
      </c>
      <c r="AI167">
        <f>IF(AND(34&gt;=4,34&lt;=24),1,0)</f>
        <v>0</v>
      </c>
      <c r="AJ167">
        <f>IF(AND(35&gt;=4,35&lt;=24),1,0)</f>
        <v>0</v>
      </c>
      <c r="AK167">
        <f>IF(AND(36&gt;=4,36&lt;=24),1,0)</f>
        <v>0</v>
      </c>
    </row>
    <row r="168" spans="1:37" ht="14.25" customHeight="1" x14ac:dyDescent="0.45">
      <c r="A168" s="39" t="s">
        <v>771</v>
      </c>
      <c r="B168" s="39">
        <f>B167*$B$45</f>
        <v>0</v>
      </c>
      <c r="C168" s="39">
        <f>C167*$B$45</f>
        <v>0</v>
      </c>
      <c r="D168" s="39">
        <f>D167*$B$45</f>
        <v>0</v>
      </c>
      <c r="E168" s="39">
        <f>E167*$B$45+$F$44</f>
        <v>11</v>
      </c>
      <c r="F168" s="39">
        <f t="shared" ref="F168:M168" si="13">F167*$B$45</f>
        <v>5</v>
      </c>
      <c r="G168" s="39">
        <f t="shared" si="13"/>
        <v>5</v>
      </c>
      <c r="H168" s="39">
        <f t="shared" si="13"/>
        <v>5</v>
      </c>
      <c r="I168" s="39">
        <f t="shared" si="13"/>
        <v>5</v>
      </c>
      <c r="J168">
        <f t="shared" si="13"/>
        <v>5</v>
      </c>
      <c r="K168">
        <f t="shared" si="13"/>
        <v>5</v>
      </c>
      <c r="L168">
        <f t="shared" si="13"/>
        <v>5</v>
      </c>
      <c r="M168">
        <f t="shared" si="13"/>
        <v>5</v>
      </c>
      <c r="N168">
        <f t="shared" ref="N168:Y168" si="14">N167*$C$45</f>
        <v>4</v>
      </c>
      <c r="O168">
        <f t="shared" si="14"/>
        <v>4</v>
      </c>
      <c r="P168">
        <f t="shared" si="14"/>
        <v>4</v>
      </c>
      <c r="Q168">
        <f t="shared" si="14"/>
        <v>4</v>
      </c>
      <c r="R168">
        <f t="shared" si="14"/>
        <v>4</v>
      </c>
      <c r="S168">
        <f t="shared" si="14"/>
        <v>4</v>
      </c>
      <c r="T168">
        <f t="shared" si="14"/>
        <v>4</v>
      </c>
      <c r="U168">
        <f t="shared" si="14"/>
        <v>4</v>
      </c>
      <c r="V168">
        <f t="shared" si="14"/>
        <v>4</v>
      </c>
      <c r="W168">
        <f t="shared" si="14"/>
        <v>4</v>
      </c>
      <c r="X168">
        <f t="shared" si="14"/>
        <v>4</v>
      </c>
      <c r="Y168">
        <f t="shared" si="14"/>
        <v>4</v>
      </c>
      <c r="Z168">
        <f t="shared" ref="Z168:AK168" si="15">Z167*$D$45</f>
        <v>0</v>
      </c>
      <c r="AA168">
        <f t="shared" si="15"/>
        <v>0</v>
      </c>
      <c r="AB168">
        <f t="shared" si="15"/>
        <v>0</v>
      </c>
      <c r="AC168">
        <f t="shared" si="15"/>
        <v>0</v>
      </c>
      <c r="AD168">
        <f t="shared" si="15"/>
        <v>0</v>
      </c>
      <c r="AE168">
        <f t="shared" si="15"/>
        <v>0</v>
      </c>
      <c r="AF168">
        <f t="shared" si="15"/>
        <v>0</v>
      </c>
      <c r="AG168">
        <f t="shared" si="15"/>
        <v>0</v>
      </c>
      <c r="AH168">
        <f t="shared" si="15"/>
        <v>0</v>
      </c>
      <c r="AI168">
        <f t="shared" si="15"/>
        <v>0</v>
      </c>
      <c r="AJ168">
        <f t="shared" si="15"/>
        <v>0</v>
      </c>
      <c r="AK168">
        <f t="shared" si="15"/>
        <v>0</v>
      </c>
    </row>
    <row r="169" spans="1:37" ht="14.25" customHeight="1" x14ac:dyDescent="0.45">
      <c r="A169" s="39" t="s">
        <v>772</v>
      </c>
      <c r="B169" s="39">
        <f>IF(1&gt;=$B$47,1,0)</f>
        <v>0</v>
      </c>
      <c r="C169" s="39">
        <f>IF(2&gt;=$B$47,1,0)</f>
        <v>0</v>
      </c>
      <c r="D169" s="39">
        <f>IF(3&gt;=$B$47,1,0)</f>
        <v>0</v>
      </c>
      <c r="E169" s="39">
        <f>IF(4&gt;=$B$47,1,0)</f>
        <v>1</v>
      </c>
      <c r="F169" s="39">
        <f>IF(5&gt;=$B$47,1,0)</f>
        <v>1</v>
      </c>
      <c r="G169" s="39">
        <f>IF(6&gt;=$B$47,1,0)</f>
        <v>1</v>
      </c>
      <c r="H169" s="39">
        <f>IF(7&gt;=$B$47,1,0)</f>
        <v>1</v>
      </c>
      <c r="I169" s="39">
        <f>IF(8&gt;=$B$47,1,0)</f>
        <v>1</v>
      </c>
      <c r="J169">
        <f>IF(9&gt;=$B$47,1,0)</f>
        <v>1</v>
      </c>
      <c r="K169">
        <f>IF(10&gt;=$B$47,1,0)</f>
        <v>1</v>
      </c>
      <c r="L169">
        <f>IF(11&gt;=$B$47,1,0)</f>
        <v>1</v>
      </c>
      <c r="M169">
        <f>IF(12&gt;=$B$47,1,0)</f>
        <v>1</v>
      </c>
      <c r="N169">
        <f>IF(13&gt;=$B$47,1,0)</f>
        <v>1</v>
      </c>
      <c r="O169">
        <f>IF(14&gt;=$B$47,1,0)</f>
        <v>1</v>
      </c>
      <c r="P169">
        <f>IF(15&gt;=$B$47,1,0)</f>
        <v>1</v>
      </c>
      <c r="Q169">
        <f>IF(16&gt;=$B$47,1,0)</f>
        <v>1</v>
      </c>
      <c r="R169">
        <f>IF(17&gt;=$B$47,1,0)</f>
        <v>1</v>
      </c>
      <c r="S169">
        <f>IF(18&gt;=$B$47,1,0)</f>
        <v>1</v>
      </c>
      <c r="T169">
        <f>IF(19&gt;=$B$47,1,0)</f>
        <v>1</v>
      </c>
      <c r="U169">
        <f>IF(20&gt;=$B$47,1,0)</f>
        <v>1</v>
      </c>
      <c r="V169">
        <f>IF(21&gt;=$B$47,1,0)</f>
        <v>1</v>
      </c>
      <c r="W169">
        <f>IF(22&gt;=$B$47,1,0)</f>
        <v>1</v>
      </c>
      <c r="X169">
        <f>IF(23&gt;=$B$47,1,0)</f>
        <v>1</v>
      </c>
      <c r="Y169">
        <f>IF(24&gt;=$B$47,1,0)</f>
        <v>1</v>
      </c>
      <c r="Z169">
        <f>IF(25&gt;=$B$47,1,0)</f>
        <v>1</v>
      </c>
      <c r="AA169">
        <f>IF(26&gt;=$B$47,1,0)</f>
        <v>1</v>
      </c>
      <c r="AB169">
        <f>IF(27&gt;=$B$47,1,0)</f>
        <v>1</v>
      </c>
      <c r="AC169">
        <f>IF(28&gt;=$B$47,1,0)</f>
        <v>1</v>
      </c>
      <c r="AD169">
        <f>IF(29&gt;=$B$47,1,0)</f>
        <v>1</v>
      </c>
      <c r="AE169">
        <f>IF(30&gt;=$B$47,1,0)</f>
        <v>1</v>
      </c>
      <c r="AF169">
        <f>IF(31&gt;=$B$47,1,0)</f>
        <v>1</v>
      </c>
      <c r="AG169">
        <f>IF(32&gt;=$B$47,1,0)</f>
        <v>1</v>
      </c>
      <c r="AH169">
        <f>IF(33&gt;=$B$47,1,0)</f>
        <v>1</v>
      </c>
      <c r="AI169">
        <f>IF(34&gt;=$B$47,1,0)</f>
        <v>1</v>
      </c>
      <c r="AJ169">
        <f>IF(35&gt;=$B$47,1,0)</f>
        <v>1</v>
      </c>
      <c r="AK169">
        <f>IF(36&gt;=$B$47,1,0)</f>
        <v>1</v>
      </c>
    </row>
    <row r="170" spans="1:37" ht="14.25" customHeight="1" x14ac:dyDescent="0.45">
      <c r="A170" s="39" t="s">
        <v>773</v>
      </c>
      <c r="B170" s="39">
        <f>B169*$B$46*MIN(1,MAX(0,(1-$B$47+1)/$B$50))</f>
        <v>0</v>
      </c>
      <c r="C170" s="39">
        <f>C169*$B$46*MIN(1,MAX(0,(2-$B$47+1)/$B$50))</f>
        <v>0</v>
      </c>
      <c r="D170" s="39">
        <f>D169*$B$46*MIN(1,MAX(0,(3-$B$47+1)/$B$50))</f>
        <v>0</v>
      </c>
      <c r="E170" s="39">
        <f>E169*$B$46*MIN(1,MAX(0,(4-$B$47+1)/$B$50))</f>
        <v>2</v>
      </c>
      <c r="F170" s="39">
        <f>F169*$B$46*MIN(1,MAX(0,(5-$B$47+1)/$B$50))</f>
        <v>4</v>
      </c>
      <c r="G170" s="39">
        <f>G169*$B$46*MIN(1,MAX(0,(6-$B$47+1)/$B$50))</f>
        <v>6</v>
      </c>
      <c r="H170" s="39">
        <f>H169*$B$46*MIN(1,MAX(0,(7-$B$47+1)/$B$50))</f>
        <v>8</v>
      </c>
      <c r="I170" s="39">
        <f>I169*$B$46*MIN(1,MAX(0,(8-$B$47+1)/$B$50))</f>
        <v>8</v>
      </c>
      <c r="J170">
        <f>J169*$B$46*MIN(1,MAX(0,(9-$B$47+1)/$B$50))</f>
        <v>8</v>
      </c>
      <c r="K170">
        <f>K169*$B$46*MIN(1,MAX(0,(10-$B$47+1)/$B$50))</f>
        <v>8</v>
      </c>
      <c r="L170">
        <f>L169*$B$46*MIN(1,MAX(0,(11-$B$47+1)/$B$50))</f>
        <v>8</v>
      </c>
      <c r="M170">
        <f>M169*$B$46*MIN(1,MAX(0,(12-$B$47+1)/$B$50))</f>
        <v>8</v>
      </c>
      <c r="N170">
        <f>N169*$C$46*MIN(1,MAX(0,(13-$B$47+1)/$B$50))</f>
        <v>8</v>
      </c>
      <c r="O170">
        <f>O169*$C$46*MIN(1,MAX(0,(14-$B$47+1)/$B$50))</f>
        <v>8</v>
      </c>
      <c r="P170">
        <f>P169*$C$46*MIN(1,MAX(0,(15-$B$47+1)/$B$50))</f>
        <v>8</v>
      </c>
      <c r="Q170">
        <f>Q169*$C$46*MIN(1,MAX(0,(16-$B$47+1)/$B$50))</f>
        <v>8</v>
      </c>
      <c r="R170">
        <f>R169*$C$46*MIN(1,MAX(0,(17-$B$47+1)/$B$50))</f>
        <v>8</v>
      </c>
      <c r="S170">
        <f>S169*$C$46*MIN(1,MAX(0,(18-$B$47+1)/$B$50))</f>
        <v>8</v>
      </c>
      <c r="T170">
        <f>T169*$C$46*MIN(1,MAX(0,(19-$B$47+1)/$B$50))</f>
        <v>8</v>
      </c>
      <c r="U170">
        <f>U169*$C$46*MIN(1,MAX(0,(20-$B$47+1)/$B$50))</f>
        <v>8</v>
      </c>
      <c r="V170">
        <f>V169*$C$46*MIN(1,MAX(0,(21-$B$47+1)/$B$50))</f>
        <v>8</v>
      </c>
      <c r="W170">
        <f>W169*$C$46*MIN(1,MAX(0,(22-$B$47+1)/$B$50))</f>
        <v>8</v>
      </c>
      <c r="X170">
        <f>X169*$C$46*MIN(1,MAX(0,(23-$B$47+1)/$B$50))</f>
        <v>8</v>
      </c>
      <c r="Y170">
        <f>Y169*$C$46*MIN(1,MAX(0,(24-$B$47+1)/$B$50))</f>
        <v>8</v>
      </c>
      <c r="Z170">
        <f>Z169*$D$46*MIN(1,MAX(0,(25-$B$47+1)/$B$50))</f>
        <v>8</v>
      </c>
      <c r="AA170">
        <f>AA169*$D$46*MIN(1,MAX(0,(26-$B$47+1)/$B$50))</f>
        <v>8</v>
      </c>
      <c r="AB170">
        <f>AB169*$D$46*MIN(1,MAX(0,(27-$B$47+1)/$B$50))</f>
        <v>8</v>
      </c>
      <c r="AC170">
        <f>AC169*$D$46*MIN(1,MAX(0,(28-$B$47+1)/$B$50))</f>
        <v>8</v>
      </c>
      <c r="AD170">
        <f>AD169*$D$46*MIN(1,MAX(0,(29-$B$47+1)/$B$50))</f>
        <v>8</v>
      </c>
      <c r="AE170">
        <f>AE169*$D$46*MIN(1,MAX(0,(30-$B$47+1)/$B$50))</f>
        <v>8</v>
      </c>
      <c r="AF170">
        <f>AF169*$D$46*MIN(1,MAX(0,(31-$B$47+1)/$B$50))</f>
        <v>8</v>
      </c>
      <c r="AG170">
        <f>AG169*$D$46*MIN(1,MAX(0,(32-$B$47+1)/$B$50))</f>
        <v>8</v>
      </c>
      <c r="AH170">
        <f>AH169*$D$46*MIN(1,MAX(0,(33-$B$47+1)/$B$50))</f>
        <v>8</v>
      </c>
      <c r="AI170">
        <f>AI169*$D$46*MIN(1,MAX(0,(34-$B$47+1)/$B$50))</f>
        <v>8</v>
      </c>
      <c r="AJ170">
        <f>AJ169*$D$46*MIN(1,MAX(0,(35-$B$47+1)/$B$50))</f>
        <v>8</v>
      </c>
      <c r="AK170">
        <f>AK169*$D$46*MIN(1,MAX(0,(36-$B$47+1)/$B$50))</f>
        <v>8</v>
      </c>
    </row>
    <row r="171" spans="1:37" ht="14.25" customHeight="1" x14ac:dyDescent="0.45">
      <c r="A171" s="39" t="s">
        <v>774</v>
      </c>
      <c r="B171" s="39">
        <f>IF(1&gt;=$B$48,1,0)</f>
        <v>0</v>
      </c>
      <c r="C171" s="39">
        <f>IF(2&gt;=$B$48,1,0)</f>
        <v>0</v>
      </c>
      <c r="D171" s="39">
        <f>IF(3&gt;=$B$48,1,0)</f>
        <v>0</v>
      </c>
      <c r="E171" s="39">
        <f>IF(4&gt;=$B$48,1,0)</f>
        <v>0</v>
      </c>
      <c r="F171" s="39">
        <f>IF(5&gt;=$B$48,1,0)</f>
        <v>0</v>
      </c>
      <c r="G171" s="39">
        <f>IF(6&gt;=$B$48,1,0)</f>
        <v>0</v>
      </c>
      <c r="H171" s="39">
        <f>IF(7&gt;=$B$48,1,0)</f>
        <v>0</v>
      </c>
      <c r="I171" s="39">
        <f>IF(8&gt;=$B$48,1,0)</f>
        <v>0</v>
      </c>
      <c r="J171">
        <f>IF(9&gt;=$B$48,1,0)</f>
        <v>0</v>
      </c>
      <c r="K171">
        <f>IF(10&gt;=$B$48,1,0)</f>
        <v>0</v>
      </c>
      <c r="L171">
        <f>IF(11&gt;=$B$48,1,0)</f>
        <v>0</v>
      </c>
      <c r="M171">
        <f>IF(12&gt;=$B$48,1,0)</f>
        <v>0</v>
      </c>
      <c r="N171">
        <f>IF(13&gt;=$B$48,1,0)</f>
        <v>0</v>
      </c>
      <c r="O171">
        <f>IF(14&gt;=$B$48,1,0)</f>
        <v>0</v>
      </c>
      <c r="P171">
        <f>IF(15&gt;=$B$48,1,0)</f>
        <v>0</v>
      </c>
      <c r="Q171">
        <f>IF(16&gt;=$B$48,1,0)</f>
        <v>1</v>
      </c>
      <c r="R171">
        <f>IF(17&gt;=$B$48,1,0)</f>
        <v>1</v>
      </c>
      <c r="S171">
        <f>IF(18&gt;=$B$48,1,0)</f>
        <v>1</v>
      </c>
      <c r="T171">
        <f>IF(19&gt;=$B$48,1,0)</f>
        <v>1</v>
      </c>
      <c r="U171">
        <f>IF(20&gt;=$B$48,1,0)</f>
        <v>1</v>
      </c>
      <c r="V171">
        <f>IF(21&gt;=$B$48,1,0)</f>
        <v>1</v>
      </c>
      <c r="W171">
        <f>IF(22&gt;=$B$48,1,0)</f>
        <v>1</v>
      </c>
      <c r="X171">
        <f>IF(23&gt;=$B$48,1,0)</f>
        <v>1</v>
      </c>
      <c r="Y171">
        <f>IF(24&gt;=$B$48,1,0)</f>
        <v>1</v>
      </c>
      <c r="Z171">
        <f>IF(25&gt;=$B$48,1,0)</f>
        <v>1</v>
      </c>
      <c r="AA171">
        <f>IF(26&gt;=$B$48,1,0)</f>
        <v>1</v>
      </c>
      <c r="AB171">
        <f>IF(27&gt;=$B$48,1,0)</f>
        <v>1</v>
      </c>
      <c r="AC171">
        <f>IF(28&gt;=$B$48,1,0)</f>
        <v>1</v>
      </c>
      <c r="AD171">
        <f>IF(29&gt;=$B$48,1,0)</f>
        <v>1</v>
      </c>
      <c r="AE171">
        <f>IF(30&gt;=$B$48,1,0)</f>
        <v>1</v>
      </c>
      <c r="AF171">
        <f>IF(31&gt;=$B$48,1,0)</f>
        <v>1</v>
      </c>
      <c r="AG171">
        <f>IF(32&gt;=$B$48,1,0)</f>
        <v>1</v>
      </c>
      <c r="AH171">
        <f>IF(33&gt;=$B$48,1,0)</f>
        <v>1</v>
      </c>
      <c r="AI171">
        <f>IF(34&gt;=$B$48,1,0)</f>
        <v>1</v>
      </c>
      <c r="AJ171">
        <f>IF(35&gt;=$B$48,1,0)</f>
        <v>1</v>
      </c>
      <c r="AK171">
        <f>IF(36&gt;=$B$48,1,0)</f>
        <v>1</v>
      </c>
    </row>
    <row r="172" spans="1:37" ht="14.25" customHeight="1" x14ac:dyDescent="0.45">
      <c r="A172" s="39" t="s">
        <v>775</v>
      </c>
      <c r="B172" s="39">
        <f>B171*$B$46*MIN(1,MAX(0,(1-$B$48+1)/$B$50))</f>
        <v>0</v>
      </c>
      <c r="C172" s="39">
        <f>C171*$B$46*MIN(1,MAX(0,(2-$B$48+1)/$B$50))</f>
        <v>0</v>
      </c>
      <c r="D172" s="39">
        <f>D171*$B$46*MIN(1,MAX(0,(3-$B$48+1)/$B$50))</f>
        <v>0</v>
      </c>
      <c r="E172" s="39">
        <f>E171*$B$46*MIN(1,MAX(0,(4-$B$48+1)/$B$50))</f>
        <v>0</v>
      </c>
      <c r="F172" s="39">
        <f>F171*$B$46*MIN(1,MAX(0,(5-$B$48+1)/$B$50))</f>
        <v>0</v>
      </c>
      <c r="G172" s="39">
        <f>G171*$B$46*MIN(1,MAX(0,(6-$B$48+1)/$B$50))</f>
        <v>0</v>
      </c>
      <c r="H172" s="39">
        <f>H171*$B$46*MIN(1,MAX(0,(7-$B$48+1)/$B$50))</f>
        <v>0</v>
      </c>
      <c r="I172" s="39">
        <f>I171*$B$46*MIN(1,MAX(0,(8-$B$48+1)/$B$50))</f>
        <v>0</v>
      </c>
      <c r="J172">
        <f>J171*$B$46*MIN(1,MAX(0,(9-$B$48+1)/$B$50))</f>
        <v>0</v>
      </c>
      <c r="K172">
        <f>K171*$B$46*MIN(1,MAX(0,(10-$B$48+1)/$B$50))</f>
        <v>0</v>
      </c>
      <c r="L172">
        <f>L171*$B$46*MIN(1,MAX(0,(11-$B$48+1)/$B$50))</f>
        <v>0</v>
      </c>
      <c r="M172">
        <f>M171*$B$46*MIN(1,MAX(0,(12-$B$48+1)/$B$50))</f>
        <v>0</v>
      </c>
      <c r="N172">
        <f>N171*$C$46*MIN(1,MAX(0,(13-$B$48+1)/$B$50))</f>
        <v>0</v>
      </c>
      <c r="O172">
        <f>O171*$C$46*MIN(1,MAX(0,(14-$B$48+1)/$B$50))</f>
        <v>0</v>
      </c>
      <c r="P172">
        <f>P171*$C$46*MIN(1,MAX(0,(15-$B$48+1)/$B$50))</f>
        <v>0</v>
      </c>
      <c r="Q172">
        <f>Q171*$C$46*MIN(1,MAX(0,(16-$B$48+1)/$B$50))</f>
        <v>2</v>
      </c>
      <c r="R172">
        <f>R171*$C$46*MIN(1,MAX(0,(17-$B$48+1)/$B$50))</f>
        <v>4</v>
      </c>
      <c r="S172">
        <f>S171*$C$46*MIN(1,MAX(0,(18-$B$48+1)/$B$50))</f>
        <v>6</v>
      </c>
      <c r="T172">
        <f>T171*$C$46*MIN(1,MAX(0,(19-$B$48+1)/$B$50))</f>
        <v>8</v>
      </c>
      <c r="U172">
        <f>U171*$C$46*MIN(1,MAX(0,(20-$B$48+1)/$B$50))</f>
        <v>8</v>
      </c>
      <c r="V172">
        <f>V171*$C$46*MIN(1,MAX(0,(21-$B$48+1)/$B$50))</f>
        <v>8</v>
      </c>
      <c r="W172">
        <f>W171*$C$46*MIN(1,MAX(0,(22-$B$48+1)/$B$50))</f>
        <v>8</v>
      </c>
      <c r="X172">
        <f>X171*$C$46*MIN(1,MAX(0,(23-$B$48+1)/$B$50))</f>
        <v>8</v>
      </c>
      <c r="Y172">
        <f>Y171*$C$46*MIN(1,MAX(0,(24-$B$48+1)/$B$50))</f>
        <v>8</v>
      </c>
      <c r="Z172">
        <f>Z171*$D$46*MIN(1,MAX(0,(25-$B$48+1)/$B$50))</f>
        <v>8</v>
      </c>
      <c r="AA172">
        <f>AA171*$D$46*MIN(1,MAX(0,(26-$B$48+1)/$B$50))</f>
        <v>8</v>
      </c>
      <c r="AB172">
        <f>AB171*$D$46*MIN(1,MAX(0,(27-$B$48+1)/$B$50))</f>
        <v>8</v>
      </c>
      <c r="AC172">
        <f>AC171*$D$46*MIN(1,MAX(0,(28-$B$48+1)/$B$50))</f>
        <v>8</v>
      </c>
      <c r="AD172">
        <f>AD171*$D$46*MIN(1,MAX(0,(29-$B$48+1)/$B$50))</f>
        <v>8</v>
      </c>
      <c r="AE172">
        <f>AE171*$D$46*MIN(1,MAX(0,(30-$B$48+1)/$B$50))</f>
        <v>8</v>
      </c>
      <c r="AF172">
        <f>AF171*$D$46*MIN(1,MAX(0,(31-$B$48+1)/$B$50))</f>
        <v>8</v>
      </c>
      <c r="AG172">
        <f>AG171*$D$46*MIN(1,MAX(0,(32-$B$48+1)/$B$50))</f>
        <v>8</v>
      </c>
      <c r="AH172">
        <f>AH171*$D$46*MIN(1,MAX(0,(33-$B$48+1)/$B$50))</f>
        <v>8</v>
      </c>
      <c r="AI172">
        <f>AI171*$D$46*MIN(1,MAX(0,(34-$B$48+1)/$B$50))</f>
        <v>8</v>
      </c>
      <c r="AJ172">
        <f>AJ171*$D$46*MIN(1,MAX(0,(35-$B$48+1)/$B$50))</f>
        <v>8</v>
      </c>
      <c r="AK172">
        <f>AK171*$D$46*MIN(1,MAX(0,(36-$B$48+1)/$B$50))</f>
        <v>8</v>
      </c>
    </row>
    <row r="173" spans="1:37" ht="14.25" customHeight="1" x14ac:dyDescent="0.45">
      <c r="A173" s="39" t="s">
        <v>776</v>
      </c>
      <c r="B173" s="39">
        <f>IF(1&gt;=$B$49,1,0)</f>
        <v>0</v>
      </c>
      <c r="C173" s="39">
        <f>IF(2&gt;=$B$49,1,0)</f>
        <v>0</v>
      </c>
      <c r="D173" s="39">
        <f>IF(3&gt;=$B$49,1,0)</f>
        <v>0</v>
      </c>
      <c r="E173" s="39">
        <f>IF(4&gt;=$B$49,1,0)</f>
        <v>0</v>
      </c>
      <c r="F173" s="39">
        <f>IF(5&gt;=$B$49,1,0)</f>
        <v>0</v>
      </c>
      <c r="G173" s="39">
        <f>IF(6&gt;=$B$49,1,0)</f>
        <v>0</v>
      </c>
      <c r="H173" s="39">
        <f>IF(7&gt;=$B$49,1,0)</f>
        <v>0</v>
      </c>
      <c r="I173" s="39">
        <f>IF(8&gt;=$B$49,1,0)</f>
        <v>0</v>
      </c>
      <c r="J173">
        <f>IF(9&gt;=$B$49,1,0)</f>
        <v>0</v>
      </c>
      <c r="K173">
        <f>IF(10&gt;=$B$49,1,0)</f>
        <v>0</v>
      </c>
      <c r="L173">
        <f>IF(11&gt;=$B$49,1,0)</f>
        <v>0</v>
      </c>
      <c r="M173">
        <f>IF(12&gt;=$B$49,1,0)</f>
        <v>0</v>
      </c>
      <c r="N173">
        <f>IF(13&gt;=$B$49,1,0)</f>
        <v>0</v>
      </c>
      <c r="O173">
        <f>IF(14&gt;=$B$49,1,0)</f>
        <v>0</v>
      </c>
      <c r="P173">
        <f>IF(15&gt;=$B$49,1,0)</f>
        <v>0</v>
      </c>
      <c r="Q173">
        <f>IF(16&gt;=$B$49,1,0)</f>
        <v>0</v>
      </c>
      <c r="R173">
        <f>IF(17&gt;=$B$49,1,0)</f>
        <v>0</v>
      </c>
      <c r="S173">
        <f>IF(18&gt;=$B$49,1,0)</f>
        <v>0</v>
      </c>
      <c r="T173">
        <f>IF(19&gt;=$B$49,1,0)</f>
        <v>0</v>
      </c>
      <c r="U173">
        <f>IF(20&gt;=$B$49,1,0)</f>
        <v>0</v>
      </c>
      <c r="V173">
        <f>IF(21&gt;=$B$49,1,0)</f>
        <v>0</v>
      </c>
      <c r="W173">
        <f>IF(22&gt;=$B$49,1,0)</f>
        <v>1</v>
      </c>
      <c r="X173">
        <f>IF(23&gt;=$B$49,1,0)</f>
        <v>1</v>
      </c>
      <c r="Y173">
        <f>IF(24&gt;=$B$49,1,0)</f>
        <v>1</v>
      </c>
      <c r="Z173">
        <f>IF(25&gt;=$B$49,1,0)</f>
        <v>1</v>
      </c>
      <c r="AA173">
        <f>IF(26&gt;=$B$49,1,0)</f>
        <v>1</v>
      </c>
      <c r="AB173">
        <f>IF(27&gt;=$B$49,1,0)</f>
        <v>1</v>
      </c>
      <c r="AC173">
        <f>IF(28&gt;=$B$49,1,0)</f>
        <v>1</v>
      </c>
      <c r="AD173">
        <f>IF(29&gt;=$B$49,1,0)</f>
        <v>1</v>
      </c>
      <c r="AE173">
        <f>IF(30&gt;=$B$49,1,0)</f>
        <v>1</v>
      </c>
      <c r="AF173">
        <f>IF(31&gt;=$B$49,1,0)</f>
        <v>1</v>
      </c>
      <c r="AG173">
        <f>IF(32&gt;=$B$49,1,0)</f>
        <v>1</v>
      </c>
      <c r="AH173">
        <f>IF(33&gt;=$B$49,1,0)</f>
        <v>1</v>
      </c>
      <c r="AI173">
        <f>IF(34&gt;=$B$49,1,0)</f>
        <v>1</v>
      </c>
      <c r="AJ173">
        <f>IF(35&gt;=$B$49,1,0)</f>
        <v>1</v>
      </c>
      <c r="AK173">
        <f>IF(36&gt;=$B$49,1,0)</f>
        <v>1</v>
      </c>
    </row>
    <row r="174" spans="1:37" ht="14.25" customHeight="1" x14ac:dyDescent="0.45">
      <c r="A174" s="39" t="s">
        <v>777</v>
      </c>
      <c r="B174" s="39">
        <f>B173*$B$46*MIN(1,MAX(0,(1-$B$49+1)/$B$50))</f>
        <v>0</v>
      </c>
      <c r="C174" s="39">
        <f>C173*$B$46*MIN(1,MAX(0,(2-$B$49+1)/$B$50))</f>
        <v>0</v>
      </c>
      <c r="D174" s="39">
        <f>D173*$B$46*MIN(1,MAX(0,(3-$B$49+1)/$B$50))</f>
        <v>0</v>
      </c>
      <c r="E174" s="39">
        <f>E173*$B$46*MIN(1,MAX(0,(4-$B$49+1)/$B$50))</f>
        <v>0</v>
      </c>
      <c r="F174" s="39">
        <f>F173*$B$46*MIN(1,MAX(0,(5-$B$49+1)/$B$50))</f>
        <v>0</v>
      </c>
      <c r="G174" s="39">
        <f>G173*$B$46*MIN(1,MAX(0,(6-$B$49+1)/$B$50))</f>
        <v>0</v>
      </c>
      <c r="H174" s="39">
        <f>H173*$B$46*MIN(1,MAX(0,(7-$B$49+1)/$B$50))</f>
        <v>0</v>
      </c>
      <c r="I174" s="39">
        <f>I173*$B$46*MIN(1,MAX(0,(8-$B$49+1)/$B$50))</f>
        <v>0</v>
      </c>
      <c r="J174">
        <f>J173*$B$46*MIN(1,MAX(0,(9-$B$49+1)/$B$50))</f>
        <v>0</v>
      </c>
      <c r="K174">
        <f>K173*$B$46*MIN(1,MAX(0,(10-$B$49+1)/$B$50))</f>
        <v>0</v>
      </c>
      <c r="L174">
        <f>L173*$B$46*MIN(1,MAX(0,(11-$B$49+1)/$B$50))</f>
        <v>0</v>
      </c>
      <c r="M174">
        <f>M173*$B$46*MIN(1,MAX(0,(12-$B$49+1)/$B$50))</f>
        <v>0</v>
      </c>
      <c r="N174">
        <f>N173*$C$46*MIN(1,MAX(0,(13-$B$49+1)/$B$50))</f>
        <v>0</v>
      </c>
      <c r="O174">
        <f>O173*$C$46*MIN(1,MAX(0,(14-$B$49+1)/$B$50))</f>
        <v>0</v>
      </c>
      <c r="P174">
        <f>P173*$C$46*MIN(1,MAX(0,(15-$B$49+1)/$B$50))</f>
        <v>0</v>
      </c>
      <c r="Q174">
        <f>Q173*$C$46*MIN(1,MAX(0,(16-$B$49+1)/$B$50))</f>
        <v>0</v>
      </c>
      <c r="R174">
        <f>R173*$C$46*MIN(1,MAX(0,(17-$B$49+1)/$B$50))</f>
        <v>0</v>
      </c>
      <c r="S174">
        <f>S173*$C$46*MIN(1,MAX(0,(18-$B$49+1)/$B$50))</f>
        <v>0</v>
      </c>
      <c r="T174">
        <f>T173*$C$46*MIN(1,MAX(0,(19-$B$49+1)/$B$50))</f>
        <v>0</v>
      </c>
      <c r="U174">
        <f>U173*$C$46*MIN(1,MAX(0,(20-$B$49+1)/$B$50))</f>
        <v>0</v>
      </c>
      <c r="V174">
        <f>V173*$C$46*MIN(1,MAX(0,(21-$B$49+1)/$B$50))</f>
        <v>0</v>
      </c>
      <c r="W174">
        <f>W173*$C$46*MIN(1,MAX(0,(22-$B$49+1)/$B$50))</f>
        <v>2</v>
      </c>
      <c r="X174">
        <f>X173*$C$46*MIN(1,MAX(0,(23-$B$49+1)/$B$50))</f>
        <v>4</v>
      </c>
      <c r="Y174">
        <f>Y173*$C$46*MIN(1,MAX(0,(24-$B$49+1)/$B$50))</f>
        <v>6</v>
      </c>
      <c r="Z174">
        <f>Z173*$D$46*MIN(1,MAX(0,(25-$B$49+1)/$B$50))</f>
        <v>8</v>
      </c>
      <c r="AA174">
        <f>AA173*$D$46*MIN(1,MAX(0,(26-$B$49+1)/$B$50))</f>
        <v>8</v>
      </c>
      <c r="AB174">
        <f>AB173*$D$46*MIN(1,MAX(0,(27-$B$49+1)/$B$50))</f>
        <v>8</v>
      </c>
      <c r="AC174">
        <f>AC173*$D$46*MIN(1,MAX(0,(28-$B$49+1)/$B$50))</f>
        <v>8</v>
      </c>
      <c r="AD174">
        <f>AD173*$D$46*MIN(1,MAX(0,(29-$B$49+1)/$B$50))</f>
        <v>8</v>
      </c>
      <c r="AE174">
        <f>AE173*$D$46*MIN(1,MAX(0,(30-$B$49+1)/$B$50))</f>
        <v>8</v>
      </c>
      <c r="AF174">
        <f>AF173*$D$46*MIN(1,MAX(0,(31-$B$49+1)/$B$50))</f>
        <v>8</v>
      </c>
      <c r="AG174">
        <f>AG173*$D$46*MIN(1,MAX(0,(32-$B$49+1)/$B$50))</f>
        <v>8</v>
      </c>
      <c r="AH174">
        <f>AH173*$D$46*MIN(1,MAX(0,(33-$B$49+1)/$B$50))</f>
        <v>8</v>
      </c>
      <c r="AI174">
        <f>AI173*$D$46*MIN(1,MAX(0,(34-$B$49+1)/$B$50))</f>
        <v>8</v>
      </c>
      <c r="AJ174">
        <f>AJ173*$D$46*MIN(1,MAX(0,(35-$B$49+1)/$B$50))</f>
        <v>8</v>
      </c>
      <c r="AK174">
        <f>AK173*$D$46*MIN(1,MAX(0,(36-$B$49+1)/$B$50))</f>
        <v>8</v>
      </c>
    </row>
    <row r="175" spans="1:37" ht="14.25" customHeight="1" x14ac:dyDescent="0.45">
      <c r="A175" s="39" t="s">
        <v>778</v>
      </c>
      <c r="B175" s="39">
        <f t="shared" ref="B175:AK175" si="16">B168+B170+B172+B174</f>
        <v>0</v>
      </c>
      <c r="C175" s="39">
        <f t="shared" si="16"/>
        <v>0</v>
      </c>
      <c r="D175" s="39">
        <f t="shared" si="16"/>
        <v>0</v>
      </c>
      <c r="E175" s="39">
        <f t="shared" si="16"/>
        <v>13</v>
      </c>
      <c r="F175" s="39">
        <f t="shared" si="16"/>
        <v>9</v>
      </c>
      <c r="G175" s="39">
        <f t="shared" si="16"/>
        <v>11</v>
      </c>
      <c r="H175" s="39">
        <f t="shared" si="16"/>
        <v>13</v>
      </c>
      <c r="I175" s="39">
        <f t="shared" si="16"/>
        <v>13</v>
      </c>
      <c r="J175">
        <f t="shared" si="16"/>
        <v>13</v>
      </c>
      <c r="K175">
        <f t="shared" si="16"/>
        <v>13</v>
      </c>
      <c r="L175">
        <f t="shared" si="16"/>
        <v>13</v>
      </c>
      <c r="M175">
        <f t="shared" si="16"/>
        <v>13</v>
      </c>
      <c r="N175">
        <f t="shared" si="16"/>
        <v>12</v>
      </c>
      <c r="O175">
        <f t="shared" si="16"/>
        <v>12</v>
      </c>
      <c r="P175">
        <f t="shared" si="16"/>
        <v>12</v>
      </c>
      <c r="Q175">
        <f t="shared" si="16"/>
        <v>14</v>
      </c>
      <c r="R175">
        <f t="shared" si="16"/>
        <v>16</v>
      </c>
      <c r="S175">
        <f t="shared" si="16"/>
        <v>18</v>
      </c>
      <c r="T175">
        <f t="shared" si="16"/>
        <v>20</v>
      </c>
      <c r="U175">
        <f t="shared" si="16"/>
        <v>20</v>
      </c>
      <c r="V175">
        <f t="shared" si="16"/>
        <v>20</v>
      </c>
      <c r="W175">
        <f t="shared" si="16"/>
        <v>22</v>
      </c>
      <c r="X175">
        <f t="shared" si="16"/>
        <v>24</v>
      </c>
      <c r="Y175">
        <f t="shared" si="16"/>
        <v>26</v>
      </c>
      <c r="Z175">
        <f t="shared" si="16"/>
        <v>24</v>
      </c>
      <c r="AA175">
        <f t="shared" si="16"/>
        <v>24</v>
      </c>
      <c r="AB175">
        <f t="shared" si="16"/>
        <v>24</v>
      </c>
      <c r="AC175">
        <f t="shared" si="16"/>
        <v>24</v>
      </c>
      <c r="AD175">
        <f t="shared" si="16"/>
        <v>24</v>
      </c>
      <c r="AE175">
        <f t="shared" si="16"/>
        <v>24</v>
      </c>
      <c r="AF175">
        <f t="shared" si="16"/>
        <v>24</v>
      </c>
      <c r="AG175">
        <f t="shared" si="16"/>
        <v>24</v>
      </c>
      <c r="AH175">
        <f t="shared" si="16"/>
        <v>24</v>
      </c>
      <c r="AI175">
        <f t="shared" si="16"/>
        <v>24</v>
      </c>
      <c r="AJ175">
        <f t="shared" si="16"/>
        <v>24</v>
      </c>
      <c r="AK175">
        <f t="shared" si="16"/>
        <v>24</v>
      </c>
    </row>
    <row r="176" spans="1:37" ht="14.25" customHeight="1" x14ac:dyDescent="0.45">
      <c r="A176" s="39" t="s">
        <v>165</v>
      </c>
      <c r="B176" s="91">
        <f>$B$55</f>
        <v>0.7</v>
      </c>
      <c r="C176" s="91">
        <f>$B$55</f>
        <v>0.7</v>
      </c>
      <c r="D176" s="91">
        <f>$B$55</f>
        <v>0.7</v>
      </c>
      <c r="E176" s="91">
        <f>MIN($B$57,$B$55+(4-4)*$B$56)</f>
        <v>0.7</v>
      </c>
      <c r="F176" s="91">
        <f>MIN($B$57,$B$55+(5-4)*$B$56)</f>
        <v>0.71</v>
      </c>
      <c r="G176" s="91">
        <f>MIN($B$57,$B$55+(6-4)*$B$56)</f>
        <v>0.72</v>
      </c>
      <c r="H176" s="91">
        <f>MIN($B$57,$B$55+(7-4)*$B$56)</f>
        <v>0.73</v>
      </c>
      <c r="I176" s="91">
        <f>MIN($B$57,$B$55+(8-4)*$B$56)</f>
        <v>0.74</v>
      </c>
      <c r="J176" s="11">
        <f>MIN($B$57,$B$55+(9-4)*$B$56)</f>
        <v>0.75</v>
      </c>
      <c r="K176" s="11">
        <f>MIN($B$57,$B$55+(10-4)*$B$56)</f>
        <v>0.76</v>
      </c>
      <c r="L176" s="11">
        <f>MIN($B$57,$B$55+(11-4)*$B$56)</f>
        <v>0.77</v>
      </c>
      <c r="M176" s="11">
        <f>MIN($B$57,$B$55+(12-4)*$B$56)</f>
        <v>0.77999999999999992</v>
      </c>
      <c r="N176" s="11">
        <f>MIN($B$57,$B$55+(13-4)*$B$56)</f>
        <v>0.78999999999999992</v>
      </c>
      <c r="O176" s="11">
        <f>MIN($B$57,$B$55+(14-4)*$B$56)</f>
        <v>0.79999999999999993</v>
      </c>
      <c r="P176" s="11">
        <f>MIN($B$57,$B$55+(15-4)*$B$56)</f>
        <v>0.80999999999999994</v>
      </c>
      <c r="Q176" s="11">
        <f>MIN($B$57,$B$55+(16-4)*$B$56)</f>
        <v>0.82</v>
      </c>
      <c r="R176" s="11">
        <f>MIN($B$57,$B$55+(17-4)*$B$56)</f>
        <v>0.83</v>
      </c>
      <c r="S176" s="11">
        <f>MIN($B$57,$B$55+(18-4)*$B$56)</f>
        <v>0.84</v>
      </c>
      <c r="T176" s="11">
        <f>MIN($B$57,$B$55+(19-4)*$B$56)</f>
        <v>0.85</v>
      </c>
      <c r="U176" s="11">
        <f>MIN($B$57,$B$55+(20-4)*$B$56)</f>
        <v>0.85</v>
      </c>
      <c r="V176" s="11">
        <f>MIN($B$57,$B$55+(21-4)*$B$56)</f>
        <v>0.85</v>
      </c>
      <c r="W176" s="11">
        <f>MIN($B$57,$B$55+(22-4)*$B$56)</f>
        <v>0.85</v>
      </c>
      <c r="X176" s="11">
        <f>MIN($B$57,$B$55+(23-4)*$B$56)</f>
        <v>0.85</v>
      </c>
      <c r="Y176" s="11">
        <f>MIN($B$57,$B$55+(24-4)*$B$56)</f>
        <v>0.85</v>
      </c>
      <c r="Z176" s="11">
        <f>MIN($B$57,$B$55+(25-4)*$B$56)</f>
        <v>0.85</v>
      </c>
      <c r="AA176" s="11">
        <f>MIN($B$57,$B$55+(26-4)*$B$56)</f>
        <v>0.85</v>
      </c>
      <c r="AB176" s="11">
        <f>MIN($B$57,$B$55+(27-4)*$B$56)</f>
        <v>0.85</v>
      </c>
      <c r="AC176" s="11">
        <f>MIN($B$57,$B$55+(28-4)*$B$56)</f>
        <v>0.85</v>
      </c>
      <c r="AD176" s="11">
        <f>MIN($B$57,$B$55+(29-4)*$B$56)</f>
        <v>0.85</v>
      </c>
      <c r="AE176" s="11">
        <f>MIN($B$57,$B$55+(30-4)*$B$56)</f>
        <v>0.85</v>
      </c>
      <c r="AF176" s="11">
        <f>MIN($B$57,$B$55+(31-4)*$B$56)</f>
        <v>0.85</v>
      </c>
      <c r="AG176" s="11">
        <f>MIN($B$57,$B$55+(32-4)*$B$56)</f>
        <v>0.85</v>
      </c>
      <c r="AH176" s="11">
        <f>MIN($B$57,$B$55+(33-4)*$B$56)</f>
        <v>0.85</v>
      </c>
      <c r="AI176" s="11">
        <f>MIN($B$57,$B$55+(34-4)*$B$56)</f>
        <v>0.85</v>
      </c>
      <c r="AJ176" s="11">
        <f>MIN($B$57,$B$55+(35-4)*$B$56)</f>
        <v>0.85</v>
      </c>
      <c r="AK176" s="11">
        <f>MIN($B$57,$B$55+(36-4)*$B$56)</f>
        <v>0.85</v>
      </c>
    </row>
    <row r="177" spans="1:40" ht="14.25" customHeight="1" x14ac:dyDescent="0.45">
      <c r="A177" s="39" t="s">
        <v>779</v>
      </c>
      <c r="B177" s="39">
        <f t="shared" ref="B177:AK177" si="17">B175*B176</f>
        <v>0</v>
      </c>
      <c r="C177" s="39">
        <f t="shared" si="17"/>
        <v>0</v>
      </c>
      <c r="D177" s="39">
        <f t="shared" si="17"/>
        <v>0</v>
      </c>
      <c r="E177" s="39">
        <f t="shared" si="17"/>
        <v>9.1</v>
      </c>
      <c r="F177" s="39">
        <f t="shared" si="17"/>
        <v>6.39</v>
      </c>
      <c r="G177" s="39">
        <f t="shared" si="17"/>
        <v>7.92</v>
      </c>
      <c r="H177" s="39">
        <f t="shared" si="17"/>
        <v>9.49</v>
      </c>
      <c r="I177" s="39">
        <f t="shared" si="17"/>
        <v>9.6199999999999992</v>
      </c>
      <c r="J177">
        <f t="shared" si="17"/>
        <v>9.75</v>
      </c>
      <c r="K177">
        <f t="shared" si="17"/>
        <v>9.8800000000000008</v>
      </c>
      <c r="L177">
        <f t="shared" si="17"/>
        <v>10.01</v>
      </c>
      <c r="M177">
        <f t="shared" si="17"/>
        <v>10.139999999999999</v>
      </c>
      <c r="N177">
        <f t="shared" si="17"/>
        <v>9.4799999999999986</v>
      </c>
      <c r="O177">
        <f t="shared" si="17"/>
        <v>9.6</v>
      </c>
      <c r="P177">
        <f t="shared" si="17"/>
        <v>9.7199999999999989</v>
      </c>
      <c r="Q177">
        <f t="shared" si="17"/>
        <v>11.479999999999999</v>
      </c>
      <c r="R177">
        <f t="shared" si="17"/>
        <v>13.28</v>
      </c>
      <c r="S177">
        <f t="shared" si="17"/>
        <v>15.12</v>
      </c>
      <c r="T177">
        <f t="shared" si="17"/>
        <v>17</v>
      </c>
      <c r="U177">
        <f t="shared" si="17"/>
        <v>17</v>
      </c>
      <c r="V177">
        <f t="shared" si="17"/>
        <v>17</v>
      </c>
      <c r="W177">
        <f t="shared" si="17"/>
        <v>18.7</v>
      </c>
      <c r="X177">
        <f t="shared" si="17"/>
        <v>20.399999999999999</v>
      </c>
      <c r="Y177">
        <f t="shared" si="17"/>
        <v>22.099999999999998</v>
      </c>
      <c r="Z177">
        <f t="shared" si="17"/>
        <v>20.399999999999999</v>
      </c>
      <c r="AA177">
        <f t="shared" si="17"/>
        <v>20.399999999999999</v>
      </c>
      <c r="AB177">
        <f t="shared" si="17"/>
        <v>20.399999999999999</v>
      </c>
      <c r="AC177">
        <f t="shared" si="17"/>
        <v>20.399999999999999</v>
      </c>
      <c r="AD177">
        <f t="shared" si="17"/>
        <v>20.399999999999999</v>
      </c>
      <c r="AE177">
        <f t="shared" si="17"/>
        <v>20.399999999999999</v>
      </c>
      <c r="AF177">
        <f t="shared" si="17"/>
        <v>20.399999999999999</v>
      </c>
      <c r="AG177">
        <f t="shared" si="17"/>
        <v>20.399999999999999</v>
      </c>
      <c r="AH177">
        <f t="shared" si="17"/>
        <v>20.399999999999999</v>
      </c>
      <c r="AI177">
        <f t="shared" si="17"/>
        <v>20.399999999999999</v>
      </c>
      <c r="AJ177">
        <f t="shared" si="17"/>
        <v>20.399999999999999</v>
      </c>
      <c r="AK177">
        <f t="shared" si="17"/>
        <v>20.399999999999999</v>
      </c>
    </row>
    <row r="178" spans="1:40" x14ac:dyDescent="0.45">
      <c r="A178" s="39" t="s">
        <v>780</v>
      </c>
      <c r="B178" s="62"/>
      <c r="C178" s="62"/>
      <c r="D178" s="62"/>
      <c r="E178" s="39">
        <f t="shared" ref="E178:AN178" si="18">E170+E172+E174</f>
        <v>2</v>
      </c>
      <c r="F178" s="39">
        <f t="shared" si="18"/>
        <v>4</v>
      </c>
      <c r="G178" s="39">
        <f t="shared" si="18"/>
        <v>6</v>
      </c>
      <c r="H178" s="39">
        <f t="shared" si="18"/>
        <v>8</v>
      </c>
      <c r="I178" s="39">
        <f t="shared" si="18"/>
        <v>8</v>
      </c>
      <c r="J178">
        <f t="shared" si="18"/>
        <v>8</v>
      </c>
      <c r="K178">
        <f t="shared" si="18"/>
        <v>8</v>
      </c>
      <c r="L178">
        <f t="shared" si="18"/>
        <v>8</v>
      </c>
      <c r="M178">
        <f t="shared" si="18"/>
        <v>8</v>
      </c>
      <c r="N178">
        <f t="shared" si="18"/>
        <v>8</v>
      </c>
      <c r="O178">
        <f t="shared" si="18"/>
        <v>8</v>
      </c>
      <c r="P178">
        <f t="shared" si="18"/>
        <v>8</v>
      </c>
      <c r="Q178">
        <f t="shared" si="18"/>
        <v>10</v>
      </c>
      <c r="R178">
        <f t="shared" si="18"/>
        <v>12</v>
      </c>
      <c r="S178">
        <f t="shared" si="18"/>
        <v>14</v>
      </c>
      <c r="T178">
        <f t="shared" si="18"/>
        <v>16</v>
      </c>
      <c r="U178">
        <f t="shared" si="18"/>
        <v>16</v>
      </c>
      <c r="V178">
        <f t="shared" si="18"/>
        <v>16</v>
      </c>
      <c r="W178">
        <f t="shared" si="18"/>
        <v>18</v>
      </c>
      <c r="X178">
        <f t="shared" si="18"/>
        <v>20</v>
      </c>
      <c r="Y178">
        <f t="shared" si="18"/>
        <v>22</v>
      </c>
      <c r="Z178">
        <f t="shared" si="18"/>
        <v>24</v>
      </c>
      <c r="AA178">
        <f t="shared" si="18"/>
        <v>24</v>
      </c>
      <c r="AB178">
        <f t="shared" si="18"/>
        <v>24</v>
      </c>
      <c r="AC178">
        <f t="shared" si="18"/>
        <v>24</v>
      </c>
      <c r="AD178">
        <f t="shared" si="18"/>
        <v>24</v>
      </c>
      <c r="AE178">
        <f t="shared" si="18"/>
        <v>24</v>
      </c>
      <c r="AF178">
        <f t="shared" si="18"/>
        <v>24</v>
      </c>
      <c r="AG178">
        <f t="shared" si="18"/>
        <v>24</v>
      </c>
      <c r="AH178">
        <f t="shared" si="18"/>
        <v>24</v>
      </c>
      <c r="AI178">
        <f t="shared" si="18"/>
        <v>24</v>
      </c>
      <c r="AJ178">
        <f t="shared" si="18"/>
        <v>24</v>
      </c>
      <c r="AK178">
        <f t="shared" si="18"/>
        <v>24</v>
      </c>
      <c r="AL178">
        <f t="shared" si="18"/>
        <v>0</v>
      </c>
      <c r="AM178">
        <f t="shared" si="18"/>
        <v>0</v>
      </c>
      <c r="AN178">
        <f t="shared" si="18"/>
        <v>0</v>
      </c>
    </row>
    <row r="179" spans="1:40" x14ac:dyDescent="0.45">
      <c r="A179" s="39" t="s">
        <v>781</v>
      </c>
      <c r="B179" s="62"/>
      <c r="C179" s="62"/>
      <c r="D179" s="62"/>
      <c r="E179" s="39">
        <f t="shared" ref="E179:AN179" si="19">IF(E175&gt;0,E178/E175,0)</f>
        <v>0.15384615384615385</v>
      </c>
      <c r="F179" s="39">
        <f t="shared" si="19"/>
        <v>0.44444444444444442</v>
      </c>
      <c r="G179" s="39">
        <f t="shared" si="19"/>
        <v>0.54545454545454541</v>
      </c>
      <c r="H179" s="39">
        <f t="shared" si="19"/>
        <v>0.61538461538461542</v>
      </c>
      <c r="I179" s="39">
        <f t="shared" si="19"/>
        <v>0.61538461538461542</v>
      </c>
      <c r="J179">
        <f t="shared" si="19"/>
        <v>0.61538461538461542</v>
      </c>
      <c r="K179">
        <f t="shared" si="19"/>
        <v>0.61538461538461542</v>
      </c>
      <c r="L179">
        <f t="shared" si="19"/>
        <v>0.61538461538461542</v>
      </c>
      <c r="M179">
        <f t="shared" si="19"/>
        <v>0.61538461538461542</v>
      </c>
      <c r="N179">
        <f t="shared" si="19"/>
        <v>0.66666666666666663</v>
      </c>
      <c r="O179">
        <f t="shared" si="19"/>
        <v>0.66666666666666663</v>
      </c>
      <c r="P179">
        <f t="shared" si="19"/>
        <v>0.66666666666666663</v>
      </c>
      <c r="Q179">
        <f t="shared" si="19"/>
        <v>0.7142857142857143</v>
      </c>
      <c r="R179">
        <f t="shared" si="19"/>
        <v>0.75</v>
      </c>
      <c r="S179">
        <f t="shared" si="19"/>
        <v>0.77777777777777779</v>
      </c>
      <c r="T179">
        <f t="shared" si="19"/>
        <v>0.8</v>
      </c>
      <c r="U179">
        <f t="shared" si="19"/>
        <v>0.8</v>
      </c>
      <c r="V179">
        <f t="shared" si="19"/>
        <v>0.8</v>
      </c>
      <c r="W179">
        <f t="shared" si="19"/>
        <v>0.81818181818181823</v>
      </c>
      <c r="X179">
        <f t="shared" si="19"/>
        <v>0.83333333333333337</v>
      </c>
      <c r="Y179">
        <f t="shared" si="19"/>
        <v>0.84615384615384615</v>
      </c>
      <c r="Z179">
        <f t="shared" si="19"/>
        <v>1</v>
      </c>
      <c r="AA179">
        <f t="shared" si="19"/>
        <v>1</v>
      </c>
      <c r="AB179">
        <f t="shared" si="19"/>
        <v>1</v>
      </c>
      <c r="AC179">
        <f t="shared" si="19"/>
        <v>1</v>
      </c>
      <c r="AD179">
        <f t="shared" si="19"/>
        <v>1</v>
      </c>
      <c r="AE179">
        <f t="shared" si="19"/>
        <v>1</v>
      </c>
      <c r="AF179">
        <f t="shared" si="19"/>
        <v>1</v>
      </c>
      <c r="AG179">
        <f t="shared" si="19"/>
        <v>1</v>
      </c>
      <c r="AH179">
        <f t="shared" si="19"/>
        <v>1</v>
      </c>
      <c r="AI179">
        <f t="shared" si="19"/>
        <v>1</v>
      </c>
      <c r="AJ179">
        <f t="shared" si="19"/>
        <v>1</v>
      </c>
      <c r="AK179">
        <f t="shared" si="19"/>
        <v>1</v>
      </c>
      <c r="AL179">
        <f t="shared" si="19"/>
        <v>0</v>
      </c>
      <c r="AM179">
        <f t="shared" si="19"/>
        <v>0</v>
      </c>
      <c r="AN179">
        <f t="shared" si="19"/>
        <v>0</v>
      </c>
    </row>
    <row r="180" spans="1:40" ht="14.25" customHeight="1" x14ac:dyDescent="0.45">
      <c r="A180" s="39" t="s">
        <v>782</v>
      </c>
      <c r="B180" s="62"/>
      <c r="C180" s="62"/>
      <c r="D180" s="62"/>
      <c r="E180" s="62"/>
      <c r="F180" s="62"/>
      <c r="G180" s="62"/>
      <c r="H180" s="62"/>
      <c r="I180" s="62"/>
    </row>
    <row r="181" spans="1:40" ht="14.25" customHeight="1" x14ac:dyDescent="0.45">
      <c r="A181" s="39" t="s">
        <v>169</v>
      </c>
      <c r="B181" s="39" t="s">
        <v>783</v>
      </c>
      <c r="C181" s="39" t="s">
        <v>784</v>
      </c>
      <c r="D181" s="39" t="s">
        <v>785</v>
      </c>
      <c r="E181" s="62"/>
      <c r="F181" s="62"/>
      <c r="G181" s="62"/>
      <c r="H181" s="62"/>
      <c r="I181" s="62"/>
    </row>
    <row r="182" spans="1:40" ht="14.25" customHeight="1" x14ac:dyDescent="0.45">
      <c r="A182" s="39" t="s">
        <v>737</v>
      </c>
      <c r="B182" s="82">
        <v>0.93</v>
      </c>
      <c r="C182" s="82">
        <v>0.7</v>
      </c>
      <c r="D182" s="82">
        <v>0.6</v>
      </c>
      <c r="E182" s="62"/>
      <c r="F182" s="62"/>
      <c r="G182" s="62"/>
      <c r="H182" s="62"/>
      <c r="I182" s="62"/>
    </row>
    <row r="183" spans="1:40" ht="14.25" customHeight="1" x14ac:dyDescent="0.45">
      <c r="A183" s="39" t="s">
        <v>181</v>
      </c>
      <c r="B183" s="82">
        <v>7.0000000000000007E-2</v>
      </c>
      <c r="C183" s="82">
        <v>0.08</v>
      </c>
      <c r="D183" s="82">
        <v>0.09</v>
      </c>
      <c r="E183" s="62"/>
      <c r="F183" s="62"/>
      <c r="G183" s="62"/>
      <c r="H183" s="62"/>
      <c r="I183" s="62"/>
    </row>
    <row r="184" spans="1:40" ht="14.25" customHeight="1" x14ac:dyDescent="0.45">
      <c r="A184" s="39" t="s">
        <v>187</v>
      </c>
      <c r="B184" s="82">
        <v>0</v>
      </c>
      <c r="C184" s="82">
        <v>0.1</v>
      </c>
      <c r="D184" s="82">
        <v>0.12</v>
      </c>
      <c r="E184" s="62"/>
      <c r="F184" s="62"/>
      <c r="G184" s="62"/>
      <c r="H184" s="62"/>
      <c r="I184" s="62"/>
    </row>
    <row r="185" spans="1:40" ht="14.25" customHeight="1" x14ac:dyDescent="0.45">
      <c r="A185" s="39" t="s">
        <v>193</v>
      </c>
      <c r="B185" s="82">
        <v>0</v>
      </c>
      <c r="C185" s="82">
        <v>0.05</v>
      </c>
      <c r="D185" s="82">
        <v>0.08</v>
      </c>
      <c r="E185" s="62"/>
      <c r="F185" s="62"/>
      <c r="G185" s="62"/>
      <c r="H185" s="62"/>
      <c r="I185" s="62"/>
    </row>
    <row r="186" spans="1:40" ht="14.25" customHeight="1" x14ac:dyDescent="0.45">
      <c r="A186" s="39" t="s">
        <v>197</v>
      </c>
      <c r="B186" s="82">
        <v>0</v>
      </c>
      <c r="C186" s="82">
        <v>7.0000000000000007E-2</v>
      </c>
      <c r="D186" s="82">
        <v>0.11</v>
      </c>
      <c r="E186" s="62"/>
      <c r="F186" s="62"/>
      <c r="G186" s="62"/>
      <c r="H186" s="62"/>
      <c r="I186" s="62"/>
    </row>
    <row r="187" spans="1:40" ht="14.25" customHeight="1" x14ac:dyDescent="0.45">
      <c r="A187" s="39" t="s">
        <v>786</v>
      </c>
      <c r="B187" s="62">
        <v>0</v>
      </c>
      <c r="C187" s="62">
        <v>0</v>
      </c>
      <c r="D187" s="62">
        <v>0</v>
      </c>
      <c r="E187" s="62"/>
      <c r="F187" s="62"/>
      <c r="G187" s="62"/>
      <c r="H187" s="62"/>
      <c r="I187" s="62"/>
    </row>
    <row r="188" spans="1:40" x14ac:dyDescent="0.45">
      <c r="A188" s="39"/>
      <c r="B188" s="62"/>
      <c r="C188" s="62"/>
      <c r="D188" s="62"/>
      <c r="E188" s="62"/>
      <c r="F188" s="62"/>
      <c r="G188" s="62"/>
      <c r="H188" s="62"/>
      <c r="I188" s="62"/>
    </row>
    <row r="189" spans="1:40" x14ac:dyDescent="0.45">
      <c r="A189" s="39" t="s">
        <v>787</v>
      </c>
      <c r="B189" s="62"/>
      <c r="C189" s="62"/>
      <c r="D189" s="62"/>
      <c r="E189" s="62"/>
      <c r="F189" s="62"/>
      <c r="G189" s="62"/>
      <c r="H189" s="62"/>
      <c r="I189" s="62"/>
    </row>
    <row r="190" spans="1:40" ht="14.25" customHeight="1" x14ac:dyDescent="0.45">
      <c r="A190" s="39"/>
      <c r="B190" s="62"/>
      <c r="C190" s="62"/>
      <c r="D190" s="62"/>
      <c r="E190" s="62"/>
      <c r="F190" s="62"/>
      <c r="G190" s="62"/>
      <c r="H190" s="62"/>
      <c r="I190" s="62"/>
    </row>
    <row r="191" spans="1:40" ht="14.25" customHeight="1" x14ac:dyDescent="0.45">
      <c r="A191" s="39" t="s">
        <v>788</v>
      </c>
      <c r="B191" s="39" t="s">
        <v>67</v>
      </c>
      <c r="C191" s="39" t="s">
        <v>68</v>
      </c>
      <c r="D191" s="39" t="s">
        <v>69</v>
      </c>
      <c r="E191" s="39" t="s">
        <v>70</v>
      </c>
      <c r="F191" s="39" t="s">
        <v>71</v>
      </c>
      <c r="G191" s="39" t="s">
        <v>72</v>
      </c>
      <c r="H191" s="39" t="s">
        <v>73</v>
      </c>
      <c r="I191" s="39" t="s">
        <v>74</v>
      </c>
      <c r="J191" t="s">
        <v>75</v>
      </c>
      <c r="K191" t="s">
        <v>76</v>
      </c>
      <c r="L191" t="s">
        <v>77</v>
      </c>
      <c r="M191" t="s">
        <v>78</v>
      </c>
      <c r="N191" t="s">
        <v>79</v>
      </c>
      <c r="O191" t="s">
        <v>80</v>
      </c>
      <c r="P191" t="s">
        <v>81</v>
      </c>
      <c r="Q191" t="s">
        <v>82</v>
      </c>
      <c r="R191" t="s">
        <v>83</v>
      </c>
      <c r="S191" t="s">
        <v>84</v>
      </c>
      <c r="T191" t="s">
        <v>85</v>
      </c>
      <c r="U191" t="s">
        <v>86</v>
      </c>
      <c r="V191" t="s">
        <v>87</v>
      </c>
      <c r="W191" t="s">
        <v>88</v>
      </c>
      <c r="X191" t="s">
        <v>89</v>
      </c>
      <c r="Y191" t="s">
        <v>90</v>
      </c>
      <c r="Z191" t="s">
        <v>91</v>
      </c>
      <c r="AA191" t="s">
        <v>92</v>
      </c>
      <c r="AB191" t="s">
        <v>93</v>
      </c>
      <c r="AC191" t="s">
        <v>94</v>
      </c>
      <c r="AD191" t="s">
        <v>95</v>
      </c>
      <c r="AE191" t="s">
        <v>96</v>
      </c>
      <c r="AF191" t="s">
        <v>97</v>
      </c>
      <c r="AG191" t="s">
        <v>98</v>
      </c>
      <c r="AH191" t="s">
        <v>99</v>
      </c>
      <c r="AI191" t="s">
        <v>100</v>
      </c>
      <c r="AJ191" t="s">
        <v>101</v>
      </c>
      <c r="AK191" t="s">
        <v>102</v>
      </c>
      <c r="AL191" t="s">
        <v>789</v>
      </c>
      <c r="AM191" t="s">
        <v>790</v>
      </c>
      <c r="AN191" t="s">
        <v>791</v>
      </c>
    </row>
    <row r="192" spans="1:40" ht="14.25" customHeight="1" x14ac:dyDescent="0.45">
      <c r="A192" s="39" t="s">
        <v>116</v>
      </c>
      <c r="B192" s="39">
        <f>ROUND(B177*IF(1&lt;=12,$B$182,IF(1&lt;=24,$C$182,$D$182)),0)</f>
        <v>0</v>
      </c>
      <c r="C192" s="39">
        <f>ROUND(C177*IF(2&lt;=12,$B$182,IF(2&lt;=24,$C$182,$D$182)),0)</f>
        <v>0</v>
      </c>
      <c r="D192" s="39">
        <f>ROUND(D177*IF(3&lt;=12,$B$182,IF(3&lt;=24,$C$182,$D$182)),0)</f>
        <v>0</v>
      </c>
      <c r="E192" s="39">
        <f>ROUND(E177*IF(4&lt;=12,$B$182,IF(4&lt;=24,$C$182,$D$182)),0)</f>
        <v>8</v>
      </c>
      <c r="F192" s="39">
        <f>ROUND(F177*IF(5&lt;=12,$B$182,IF(5&lt;=24,$C$182,$D$182)),0)</f>
        <v>6</v>
      </c>
      <c r="G192" s="39">
        <f>ROUND(G177*IF(6&lt;=12,$B$182,IF(6&lt;=24,$C$182,$D$182)),0)</f>
        <v>7</v>
      </c>
      <c r="H192" s="39">
        <f>ROUND(H177*IF(7&lt;=12,$B$182,IF(7&lt;=24,$C$182,$D$182)),0)</f>
        <v>9</v>
      </c>
      <c r="I192" s="39">
        <f>ROUND(I177*IF(8&lt;=12,$B$182,IF(8&lt;=24,$C$182,$D$182)),0)</f>
        <v>9</v>
      </c>
      <c r="J192">
        <f>ROUND(J177*IF(9&lt;=12,$B$182,IF(9&lt;=24,$C$182,$D$182)),0)</f>
        <v>9</v>
      </c>
      <c r="K192">
        <f>ROUND(K177*IF(10&lt;=12,$B$182,IF(10&lt;=24,$C$182,$D$182)),0)</f>
        <v>9</v>
      </c>
      <c r="L192">
        <f>ROUND(L177*IF(11&lt;=12,$B$182,IF(11&lt;=24,$C$182,$D$182)),0)</f>
        <v>9</v>
      </c>
      <c r="M192">
        <f>ROUND(M177*IF(12&lt;=12,$B$182,IF(12&lt;=24,$C$182,$D$182)),0)</f>
        <v>9</v>
      </c>
      <c r="N192">
        <f>ROUND(N177*IF(13&lt;=12,$B$182,IF(13&lt;=24,$C$182,$D$182)),0)</f>
        <v>7</v>
      </c>
      <c r="O192">
        <f>ROUND(O177*IF(14&lt;=12,$B$182,IF(14&lt;=24,$C$182,$D$182)),0)</f>
        <v>7</v>
      </c>
      <c r="P192">
        <f>ROUND(P177*IF(15&lt;=12,$B$182,IF(15&lt;=24,$C$182,$D$182)),0)</f>
        <v>7</v>
      </c>
      <c r="Q192">
        <f>ROUND(Q177*IF(16&lt;=12,$B$182,IF(16&lt;=24,$C$182,$D$182)),0)</f>
        <v>8</v>
      </c>
      <c r="R192">
        <f>ROUND(R177*IF(17&lt;=12,$B$182,IF(17&lt;=24,$C$182,$D$182)),0)</f>
        <v>9</v>
      </c>
      <c r="S192">
        <f>ROUND(S177*IF(18&lt;=12,$B$182,IF(18&lt;=24,$C$182,$D$182)),0)</f>
        <v>11</v>
      </c>
      <c r="T192">
        <f>ROUND(T177*IF(19&lt;=12,$B$182,IF(19&lt;=24,$C$182,$D$182)),0)</f>
        <v>12</v>
      </c>
      <c r="U192">
        <f>ROUND(U177*IF(20&lt;=12,$B$182,IF(20&lt;=24,$C$182,$D$182)),0)</f>
        <v>12</v>
      </c>
      <c r="V192">
        <f>ROUND(V177*IF(21&lt;=12,$B$182,IF(21&lt;=24,$C$182,$D$182)),0)</f>
        <v>12</v>
      </c>
      <c r="W192">
        <f>ROUND(W177*IF(22&lt;=12,$B$182,IF(22&lt;=24,$C$182,$D$182)),0)</f>
        <v>13</v>
      </c>
      <c r="X192">
        <f>ROUND(X177*IF(23&lt;=12,$B$182,IF(23&lt;=24,$C$182,$D$182)),0)</f>
        <v>14</v>
      </c>
      <c r="Y192">
        <f>ROUND(Y177*IF(24&lt;=12,$B$182,IF(24&lt;=24,$C$182,$D$182)),0)</f>
        <v>15</v>
      </c>
      <c r="Z192">
        <f>ROUND(Z177*IF(25&lt;=12,$B$182,IF(25&lt;=24,$C$182,$D$182)),0)</f>
        <v>12</v>
      </c>
      <c r="AA192">
        <f>ROUND(AA177*IF(26&lt;=12,$B$182,IF(26&lt;=24,$C$182,$D$182)),0)</f>
        <v>12</v>
      </c>
      <c r="AB192">
        <f>ROUND(AB177*IF(27&lt;=12,$B$182,IF(27&lt;=24,$C$182,$D$182)),0)</f>
        <v>12</v>
      </c>
      <c r="AC192">
        <f>ROUND(AC177*IF(28&lt;=12,$B$182,IF(28&lt;=24,$C$182,$D$182)),0)</f>
        <v>12</v>
      </c>
      <c r="AD192">
        <f>ROUND(AD177*IF(29&lt;=12,$B$182,IF(29&lt;=24,$C$182,$D$182)),0)</f>
        <v>12</v>
      </c>
      <c r="AE192">
        <f>ROUND(AE177*IF(30&lt;=12,$B$182,IF(30&lt;=24,$C$182,$D$182)),0)</f>
        <v>12</v>
      </c>
      <c r="AF192">
        <f>ROUND(AF177*IF(31&lt;=12,$B$182,IF(31&lt;=24,$C$182,$D$182)),0)</f>
        <v>12</v>
      </c>
      <c r="AG192">
        <f>ROUND(AG177*IF(32&lt;=12,$B$182,IF(32&lt;=24,$C$182,$D$182)),0)</f>
        <v>12</v>
      </c>
      <c r="AH192">
        <f>ROUND(AH177*IF(33&lt;=12,$B$182,IF(33&lt;=24,$C$182,$D$182)),0)</f>
        <v>12</v>
      </c>
      <c r="AI192">
        <f>ROUND(AI177*IF(34&lt;=12,$B$182,IF(34&lt;=24,$C$182,$D$182)),0)</f>
        <v>12</v>
      </c>
      <c r="AJ192">
        <f>ROUND(AJ177*IF(35&lt;=12,$B$182,IF(35&lt;=24,$C$182,$D$182)),0)</f>
        <v>12</v>
      </c>
      <c r="AK192">
        <f>ROUND(AK177*IF(36&lt;=12,$B$182,IF(36&lt;=24,$C$182,$D$182)),0)</f>
        <v>12</v>
      </c>
      <c r="AL192">
        <f>ROUND(AL177*IF(37&lt;=12,$B$182,IF(37&lt;=24,$C$182,$D$182)),0)</f>
        <v>0</v>
      </c>
      <c r="AM192">
        <f>ROUND(AM177*IF(38&lt;=12,$B$182,IF(38&lt;=24,$C$182,$D$182)),0)</f>
        <v>0</v>
      </c>
      <c r="AN192">
        <f>ROUND(AN177*IF(39&lt;=12,$B$182,IF(39&lt;=24,$C$182,$D$182)),0)</f>
        <v>0</v>
      </c>
    </row>
    <row r="193" spans="1:40" ht="14.25" customHeight="1" x14ac:dyDescent="0.45">
      <c r="A193" s="39" t="s">
        <v>118</v>
      </c>
      <c r="B193" s="39">
        <f>ROUND(B177*IF(1&lt;=12,$B$183,IF(1&lt;=24,$C$183,$D$183)),0)</f>
        <v>0</v>
      </c>
      <c r="C193" s="39">
        <f>ROUND(C177*IF(2&lt;=12,$B$183,IF(2&lt;=24,$C$183,$D$183)),0)</f>
        <v>0</v>
      </c>
      <c r="D193" s="39">
        <f>ROUND(D177*IF(3&lt;=12,$B$183,IF(3&lt;=24,$C$183,$D$183)),0)</f>
        <v>0</v>
      </c>
      <c r="E193" s="39">
        <f>ROUND(E177*IF(4&lt;=12,$B$183,IF(4&lt;=24,$C$183,$D$183)),0)</f>
        <v>1</v>
      </c>
      <c r="F193" s="39">
        <f>ROUND(F177*IF(5&lt;=12,$B$183,IF(5&lt;=24,$C$183,$D$183)),0)</f>
        <v>0</v>
      </c>
      <c r="G193" s="39">
        <f>ROUND(G177*IF(6&lt;=12,$B$183,IF(6&lt;=24,$C$183,$D$183)),0)</f>
        <v>1</v>
      </c>
      <c r="H193" s="39">
        <f>ROUND(H177*IF(7&lt;=12,$B$183,IF(7&lt;=24,$C$183,$D$183)),0)</f>
        <v>1</v>
      </c>
      <c r="I193" s="39">
        <f>ROUND(I177*IF(8&lt;=12,$B$183,IF(8&lt;=24,$C$183,$D$183)),0)</f>
        <v>1</v>
      </c>
      <c r="J193">
        <f>ROUND(J177*IF(9&lt;=12,$B$183,IF(9&lt;=24,$C$183,$D$183)),0)</f>
        <v>1</v>
      </c>
      <c r="K193">
        <f>ROUND(K177*IF(10&lt;=12,$B$183,IF(10&lt;=24,$C$183,$D$183)),0)</f>
        <v>1</v>
      </c>
      <c r="L193">
        <f>ROUND(L177*IF(11&lt;=12,$B$183,IF(11&lt;=24,$C$183,$D$183)),0)</f>
        <v>1</v>
      </c>
      <c r="M193">
        <f>ROUND(M177*IF(12&lt;=12,$B$183,IF(12&lt;=24,$C$183,$D$183)),0)</f>
        <v>1</v>
      </c>
      <c r="N193">
        <f>ROUND(N177*IF(13&lt;=12,$B$183,IF(13&lt;=24,$C$183,$D$183)),0)</f>
        <v>1</v>
      </c>
      <c r="O193">
        <f>ROUND(O177*IF(14&lt;=12,$B$183,IF(14&lt;=24,$C$183,$D$183)),0)</f>
        <v>1</v>
      </c>
      <c r="P193">
        <f>ROUND(P177*IF(15&lt;=12,$B$183,IF(15&lt;=24,$C$183,$D$183)),0)</f>
        <v>1</v>
      </c>
      <c r="Q193">
        <f>ROUND(Q177*IF(16&lt;=12,$B$183,IF(16&lt;=24,$C$183,$D$183)),0)</f>
        <v>1</v>
      </c>
      <c r="R193">
        <f>ROUND(R177*IF(17&lt;=12,$B$183,IF(17&lt;=24,$C$183,$D$183)),0)</f>
        <v>1</v>
      </c>
      <c r="S193">
        <f>ROUND(S177*IF(18&lt;=12,$B$183,IF(18&lt;=24,$C$183,$D$183)),0)</f>
        <v>1</v>
      </c>
      <c r="T193">
        <f>ROUND(T177*IF(19&lt;=12,$B$183,IF(19&lt;=24,$C$183,$D$183)),0)</f>
        <v>1</v>
      </c>
      <c r="U193">
        <f>ROUND(U177*IF(20&lt;=12,$B$183,IF(20&lt;=24,$C$183,$D$183)),0)</f>
        <v>1</v>
      </c>
      <c r="V193">
        <f>ROUND(V177*IF(21&lt;=12,$B$183,IF(21&lt;=24,$C$183,$D$183)),0)</f>
        <v>1</v>
      </c>
      <c r="W193">
        <f>ROUND(W177*IF(22&lt;=12,$B$183,IF(22&lt;=24,$C$183,$D$183)),0)</f>
        <v>1</v>
      </c>
      <c r="X193">
        <f>ROUND(X177*IF(23&lt;=12,$B$183,IF(23&lt;=24,$C$183,$D$183)),0)</f>
        <v>2</v>
      </c>
      <c r="Y193">
        <f>ROUND(Y177*IF(24&lt;=12,$B$183,IF(24&lt;=24,$C$183,$D$183)),0)</f>
        <v>2</v>
      </c>
      <c r="Z193">
        <f>ROUND(Z177*IF(25&lt;=12,$B$183,IF(25&lt;=24,$C$183,$D$183)),0)</f>
        <v>2</v>
      </c>
      <c r="AA193">
        <f>ROUND(AA177*IF(26&lt;=12,$B$183,IF(26&lt;=24,$C$183,$D$183)),0)</f>
        <v>2</v>
      </c>
      <c r="AB193">
        <f>ROUND(AB177*IF(27&lt;=12,$B$183,IF(27&lt;=24,$C$183,$D$183)),0)</f>
        <v>2</v>
      </c>
      <c r="AC193">
        <f>ROUND(AC177*IF(28&lt;=12,$B$183,IF(28&lt;=24,$C$183,$D$183)),0)</f>
        <v>2</v>
      </c>
      <c r="AD193">
        <f>ROUND(AD177*IF(29&lt;=12,$B$183,IF(29&lt;=24,$C$183,$D$183)),0)</f>
        <v>2</v>
      </c>
      <c r="AE193">
        <f>ROUND(AE177*IF(30&lt;=12,$B$183,IF(30&lt;=24,$C$183,$D$183)),0)</f>
        <v>2</v>
      </c>
      <c r="AF193">
        <f>ROUND(AF177*IF(31&lt;=12,$B$183,IF(31&lt;=24,$C$183,$D$183)),0)</f>
        <v>2</v>
      </c>
      <c r="AG193">
        <f>ROUND(AG177*IF(32&lt;=12,$B$183,IF(32&lt;=24,$C$183,$D$183)),0)</f>
        <v>2</v>
      </c>
      <c r="AH193">
        <f>ROUND(AH177*IF(33&lt;=12,$B$183,IF(33&lt;=24,$C$183,$D$183)),0)</f>
        <v>2</v>
      </c>
      <c r="AI193">
        <f>ROUND(AI177*IF(34&lt;=12,$B$183,IF(34&lt;=24,$C$183,$D$183)),0)</f>
        <v>2</v>
      </c>
      <c r="AJ193">
        <f>ROUND(AJ177*IF(35&lt;=12,$B$183,IF(35&lt;=24,$C$183,$D$183)),0)</f>
        <v>2</v>
      </c>
      <c r="AK193">
        <f>ROUND(AK177*IF(36&lt;=12,$B$183,IF(36&lt;=24,$C$183,$D$183)),0)</f>
        <v>2</v>
      </c>
      <c r="AL193">
        <f>ROUND(AL177*IF(37&lt;=12,$B$183,IF(37&lt;=24,$C$183,$D$183)),0)</f>
        <v>0</v>
      </c>
      <c r="AM193">
        <f>ROUND(AM177*IF(38&lt;=12,$B$183,IF(38&lt;=24,$C$183,$D$183)),0)</f>
        <v>0</v>
      </c>
      <c r="AN193">
        <f>ROUND(AN177*IF(39&lt;=12,$B$183,IF(39&lt;=24,$C$183,$D$183)),0)</f>
        <v>0</v>
      </c>
    </row>
    <row r="194" spans="1:40" ht="14.25" customHeight="1" x14ac:dyDescent="0.45">
      <c r="A194" s="39" t="s">
        <v>792</v>
      </c>
      <c r="B194" s="39">
        <f>ROUND(B177*IF(1&lt;=12,$B$184,IF(1&lt;=24,$C$184,$D$184)),0)</f>
        <v>0</v>
      </c>
      <c r="C194" s="39">
        <f>ROUND(C177*IF(2&lt;=12,$B$184,IF(2&lt;=24,$C$184,$D$184)),0)</f>
        <v>0</v>
      </c>
      <c r="D194" s="39">
        <f>ROUND(D177*IF(3&lt;=12,$B$184,IF(3&lt;=24,$C$184,$D$184)),0)</f>
        <v>0</v>
      </c>
      <c r="E194" s="39">
        <f>ROUND(E177*IF(4&lt;=12,$B$184,IF(4&lt;=24,$C$184,$D$184)),0)</f>
        <v>0</v>
      </c>
      <c r="F194" s="39">
        <f>ROUND(F177*IF(5&lt;=12,$B$184,IF(5&lt;=24,$C$184,$D$184)),0)</f>
        <v>0</v>
      </c>
      <c r="G194" s="39">
        <f>ROUND(G177*IF(6&lt;=12,$B$184,IF(6&lt;=24,$C$184,$D$184)),0)</f>
        <v>0</v>
      </c>
      <c r="H194" s="39">
        <f>ROUND(H177*IF(7&lt;=12,$B$184,IF(7&lt;=24,$C$184,$D$184)),0)</f>
        <v>0</v>
      </c>
      <c r="I194" s="39">
        <f>ROUND(I177*IF(8&lt;=12,$B$184,IF(8&lt;=24,$C$184,$D$184)),0)</f>
        <v>0</v>
      </c>
      <c r="J194">
        <f>ROUND(J177*IF(9&lt;=12,$B$184,IF(9&lt;=24,$C$184,$D$184)),0)</f>
        <v>0</v>
      </c>
      <c r="K194">
        <f>ROUND(K177*IF(10&lt;=12,$B$184,IF(10&lt;=24,$C$184,$D$184)),0)</f>
        <v>0</v>
      </c>
      <c r="L194">
        <f>ROUND(L177*IF(11&lt;=12,$B$184,IF(11&lt;=24,$C$184,$D$184)),0)</f>
        <v>0</v>
      </c>
      <c r="M194">
        <f>ROUND(M177*IF(12&lt;=12,$B$184,IF(12&lt;=24,$C$184,$D$184)),0)</f>
        <v>0</v>
      </c>
      <c r="N194">
        <f>ROUND(N177*IF(13&lt;=12,$B$184,IF(13&lt;=24,$C$184,$D$184)),0)</f>
        <v>1</v>
      </c>
      <c r="O194">
        <f>ROUND(O177*IF(14&lt;=12,$B$184,IF(14&lt;=24,$C$184,$D$184)),0)</f>
        <v>1</v>
      </c>
      <c r="P194">
        <f>ROUND(P177*IF(15&lt;=12,$B$184,IF(15&lt;=24,$C$184,$D$184)),0)</f>
        <v>1</v>
      </c>
      <c r="Q194">
        <f>ROUND(Q177*IF(16&lt;=12,$B$184,IF(16&lt;=24,$C$184,$D$184)),0)</f>
        <v>1</v>
      </c>
      <c r="R194">
        <f>ROUND(R177*IF(17&lt;=12,$B$184,IF(17&lt;=24,$C$184,$D$184)),0)</f>
        <v>1</v>
      </c>
      <c r="S194">
        <f>ROUND(S177*IF(18&lt;=12,$B$184,IF(18&lt;=24,$C$184,$D$184)),0)</f>
        <v>2</v>
      </c>
      <c r="T194">
        <f>ROUND(T177*IF(19&lt;=12,$B$184,IF(19&lt;=24,$C$184,$D$184)),0)</f>
        <v>2</v>
      </c>
      <c r="U194">
        <f>ROUND(U177*IF(20&lt;=12,$B$184,IF(20&lt;=24,$C$184,$D$184)),0)</f>
        <v>2</v>
      </c>
      <c r="V194">
        <f>ROUND(V177*IF(21&lt;=12,$B$184,IF(21&lt;=24,$C$184,$D$184)),0)</f>
        <v>2</v>
      </c>
      <c r="W194">
        <f>ROUND(W177*IF(22&lt;=12,$B$184,IF(22&lt;=24,$C$184,$D$184)),0)</f>
        <v>2</v>
      </c>
      <c r="X194">
        <f>ROUND(X177*IF(23&lt;=12,$B$184,IF(23&lt;=24,$C$184,$D$184)),0)</f>
        <v>2</v>
      </c>
      <c r="Y194">
        <f>ROUND(Y177*IF(24&lt;=12,$B$184,IF(24&lt;=24,$C$184,$D$184)),0)</f>
        <v>2</v>
      </c>
      <c r="Z194">
        <f>ROUND(Z177*IF(25&lt;=12,$B$184,IF(25&lt;=24,$C$184,$D$184)),0)</f>
        <v>2</v>
      </c>
      <c r="AA194">
        <f>ROUND(AA177*IF(26&lt;=12,$B$184,IF(26&lt;=24,$C$184,$D$184)),0)</f>
        <v>2</v>
      </c>
      <c r="AB194">
        <f>ROUND(AB177*IF(27&lt;=12,$B$184,IF(27&lt;=24,$C$184,$D$184)),0)</f>
        <v>2</v>
      </c>
      <c r="AC194">
        <f>ROUND(AC177*IF(28&lt;=12,$B$184,IF(28&lt;=24,$C$184,$D$184)),0)</f>
        <v>2</v>
      </c>
      <c r="AD194">
        <f>ROUND(AD177*IF(29&lt;=12,$B$184,IF(29&lt;=24,$C$184,$D$184)),0)</f>
        <v>2</v>
      </c>
      <c r="AE194">
        <f>ROUND(AE177*IF(30&lt;=12,$B$184,IF(30&lt;=24,$C$184,$D$184)),0)</f>
        <v>2</v>
      </c>
      <c r="AF194">
        <f>ROUND(AF177*IF(31&lt;=12,$B$184,IF(31&lt;=24,$C$184,$D$184)),0)</f>
        <v>2</v>
      </c>
      <c r="AG194">
        <f>ROUND(AG177*IF(32&lt;=12,$B$184,IF(32&lt;=24,$C$184,$D$184)),0)</f>
        <v>2</v>
      </c>
      <c r="AH194">
        <f>ROUND(AH177*IF(33&lt;=12,$B$184,IF(33&lt;=24,$C$184,$D$184)),0)</f>
        <v>2</v>
      </c>
      <c r="AI194">
        <f>ROUND(AI177*IF(34&lt;=12,$B$184,IF(34&lt;=24,$C$184,$D$184)),0)</f>
        <v>2</v>
      </c>
      <c r="AJ194">
        <f>ROUND(AJ177*IF(35&lt;=12,$B$184,IF(35&lt;=24,$C$184,$D$184)),0)</f>
        <v>2</v>
      </c>
      <c r="AK194">
        <f>ROUND(AK177*IF(36&lt;=12,$B$184,IF(36&lt;=24,$C$184,$D$184)),0)</f>
        <v>2</v>
      </c>
      <c r="AL194">
        <f>ROUND(AL177*IF(37&lt;=12,$B$184,IF(37&lt;=24,$C$184,$D$184)),0)</f>
        <v>0</v>
      </c>
      <c r="AM194">
        <f>ROUND(AM177*IF(38&lt;=12,$B$184,IF(38&lt;=24,$C$184,$D$184)),0)</f>
        <v>0</v>
      </c>
      <c r="AN194">
        <f>ROUND(AN177*IF(39&lt;=12,$B$184,IF(39&lt;=24,$C$184,$D$184)),0)</f>
        <v>0</v>
      </c>
    </row>
    <row r="195" spans="1:40" ht="14.25" customHeight="1" x14ac:dyDescent="0.45">
      <c r="A195" s="39" t="s">
        <v>793</v>
      </c>
      <c r="B195" s="39">
        <f>ROUND(B177*IF(1&lt;=12,$B$185,IF(1&lt;=24,$C$185,$D$185)),0)</f>
        <v>0</v>
      </c>
      <c r="C195" s="39">
        <f>ROUND(C177*IF(2&lt;=12,$B$185,IF(2&lt;=24,$C$185,$D$185)),0)</f>
        <v>0</v>
      </c>
      <c r="D195" s="39">
        <f>ROUND(D177*IF(3&lt;=12,$B$185,IF(3&lt;=24,$C$185,$D$185)),0)</f>
        <v>0</v>
      </c>
      <c r="E195" s="39">
        <f>ROUND(E177*IF(4&lt;=12,$B$185,IF(4&lt;=24,$C$185,$D$185)),0)</f>
        <v>0</v>
      </c>
      <c r="F195" s="39">
        <f>ROUND(F177*IF(5&lt;=12,$B$185,IF(5&lt;=24,$C$185,$D$185)),0)</f>
        <v>0</v>
      </c>
      <c r="G195" s="39">
        <f>ROUND(G177*IF(6&lt;=12,$B$185,IF(6&lt;=24,$C$185,$D$185)),0)</f>
        <v>0</v>
      </c>
      <c r="H195" s="39">
        <f>ROUND(H177*IF(7&lt;=12,$B$185,IF(7&lt;=24,$C$185,$D$185)),0)</f>
        <v>0</v>
      </c>
      <c r="I195" s="39">
        <f>ROUND(I177*IF(8&lt;=12,$B$185,IF(8&lt;=24,$C$185,$D$185)),0)</f>
        <v>0</v>
      </c>
      <c r="J195">
        <f>ROUND(J177*IF(9&lt;=12,$B$185,IF(9&lt;=24,$C$185,$D$185)),0)</f>
        <v>0</v>
      </c>
      <c r="K195">
        <f>ROUND(K177*IF(10&lt;=12,$B$185,IF(10&lt;=24,$C$185,$D$185)),0)</f>
        <v>0</v>
      </c>
      <c r="L195">
        <f>ROUND(L177*IF(11&lt;=12,$B$185,IF(11&lt;=24,$C$185,$D$185)),0)</f>
        <v>0</v>
      </c>
      <c r="M195">
        <f>ROUND(M177*IF(12&lt;=12,$B$185,IF(12&lt;=24,$C$185,$D$185)),0)</f>
        <v>0</v>
      </c>
      <c r="N195">
        <f>ROUND(N177*IF(13&lt;=12,$B$185,IF(13&lt;=24,$C$185,$D$185)),0)</f>
        <v>0</v>
      </c>
      <c r="O195">
        <f>ROUND(O177*IF(14&lt;=12,$B$185,IF(14&lt;=24,$C$185,$D$185)),0)</f>
        <v>0</v>
      </c>
      <c r="P195">
        <f>ROUND(P177*IF(15&lt;=12,$B$185,IF(15&lt;=24,$C$185,$D$185)),0)</f>
        <v>0</v>
      </c>
      <c r="Q195">
        <f>ROUND(Q177*IF(16&lt;=12,$B$185,IF(16&lt;=24,$C$185,$D$185)),0)</f>
        <v>1</v>
      </c>
      <c r="R195">
        <f>ROUND(R177*IF(17&lt;=12,$B$185,IF(17&lt;=24,$C$185,$D$185)),0)</f>
        <v>1</v>
      </c>
      <c r="S195">
        <f>ROUND(S177*IF(18&lt;=12,$B$185,IF(18&lt;=24,$C$185,$D$185)),0)</f>
        <v>1</v>
      </c>
      <c r="T195">
        <f>ROUND(T177*IF(19&lt;=12,$B$185,IF(19&lt;=24,$C$185,$D$185)),0)</f>
        <v>1</v>
      </c>
      <c r="U195">
        <f>ROUND(U177*IF(20&lt;=12,$B$185,IF(20&lt;=24,$C$185,$D$185)),0)</f>
        <v>1</v>
      </c>
      <c r="V195">
        <f>ROUND(V177*IF(21&lt;=12,$B$185,IF(21&lt;=24,$C$185,$D$185)),0)</f>
        <v>1</v>
      </c>
      <c r="W195">
        <f>ROUND(W177*IF(22&lt;=12,$B$185,IF(22&lt;=24,$C$185,$D$185)),0)</f>
        <v>1</v>
      </c>
      <c r="X195">
        <f>ROUND(X177*IF(23&lt;=12,$B$185,IF(23&lt;=24,$C$185,$D$185)),0)</f>
        <v>1</v>
      </c>
      <c r="Y195">
        <f>ROUND(Y177*IF(24&lt;=12,$B$185,IF(24&lt;=24,$C$185,$D$185)),0)</f>
        <v>1</v>
      </c>
      <c r="Z195">
        <f>ROUND(Z177*IF(25&lt;=12,$B$185,IF(25&lt;=24,$C$185,$D$185)),0)</f>
        <v>2</v>
      </c>
      <c r="AA195">
        <f>ROUND(AA177*IF(26&lt;=12,$B$185,IF(26&lt;=24,$C$185,$D$185)),0)</f>
        <v>2</v>
      </c>
      <c r="AB195">
        <f>ROUND(AB177*IF(27&lt;=12,$B$185,IF(27&lt;=24,$C$185,$D$185)),0)</f>
        <v>2</v>
      </c>
      <c r="AC195">
        <f>ROUND(AC177*IF(28&lt;=12,$B$185,IF(28&lt;=24,$C$185,$D$185)),0)</f>
        <v>2</v>
      </c>
      <c r="AD195">
        <f>ROUND(AD177*IF(29&lt;=12,$B$185,IF(29&lt;=24,$C$185,$D$185)),0)</f>
        <v>2</v>
      </c>
      <c r="AE195">
        <f>ROUND(AE177*IF(30&lt;=12,$B$185,IF(30&lt;=24,$C$185,$D$185)),0)</f>
        <v>2</v>
      </c>
      <c r="AF195">
        <f>ROUND(AF177*IF(31&lt;=12,$B$185,IF(31&lt;=24,$C$185,$D$185)),0)</f>
        <v>2</v>
      </c>
      <c r="AG195">
        <f>ROUND(AG177*IF(32&lt;=12,$B$185,IF(32&lt;=24,$C$185,$D$185)),0)</f>
        <v>2</v>
      </c>
      <c r="AH195">
        <f>ROUND(AH177*IF(33&lt;=12,$B$185,IF(33&lt;=24,$C$185,$D$185)),0)</f>
        <v>2</v>
      </c>
      <c r="AI195">
        <f>ROUND(AI177*IF(34&lt;=12,$B$185,IF(34&lt;=24,$C$185,$D$185)),0)</f>
        <v>2</v>
      </c>
      <c r="AJ195">
        <f>ROUND(AJ177*IF(35&lt;=12,$B$185,IF(35&lt;=24,$C$185,$D$185)),0)</f>
        <v>2</v>
      </c>
      <c r="AK195">
        <f>ROUND(AK177*IF(36&lt;=12,$B$185,IF(36&lt;=24,$C$185,$D$185)),0)</f>
        <v>2</v>
      </c>
      <c r="AL195">
        <f>ROUND(AL177*IF(37&lt;=12,$B$185,IF(37&lt;=24,$C$185,$D$185)),0)</f>
        <v>0</v>
      </c>
      <c r="AM195">
        <f>ROUND(AM177*IF(38&lt;=12,$B$185,IF(38&lt;=24,$C$185,$D$185)),0)</f>
        <v>0</v>
      </c>
      <c r="AN195">
        <f>ROUND(AN177*IF(39&lt;=12,$B$185,IF(39&lt;=24,$C$185,$D$185)),0)</f>
        <v>0</v>
      </c>
    </row>
    <row r="196" spans="1:40" ht="14.25" customHeight="1" x14ac:dyDescent="0.45">
      <c r="A196" s="39" t="s">
        <v>794</v>
      </c>
      <c r="B196" s="39">
        <f>ROUND(B177*IF(1&lt;=12,$B$186,IF(1&lt;=24,$C$186,$D$186)),0)</f>
        <v>0</v>
      </c>
      <c r="C196" s="39">
        <f>ROUND(C177*IF(2&lt;=12,$B$186,IF(2&lt;=24,$C$186,$D$186)),0)</f>
        <v>0</v>
      </c>
      <c r="D196" s="39">
        <f>ROUND(D177*IF(3&lt;=12,$B$186,IF(3&lt;=24,$C$186,$D$186)),0)</f>
        <v>0</v>
      </c>
      <c r="E196" s="39">
        <f>ROUND(E177*IF(4&lt;=12,$B$186,IF(4&lt;=24,$C$186,$D$186)),0)</f>
        <v>0</v>
      </c>
      <c r="F196" s="39">
        <f>ROUND(F177*IF(5&lt;=12,$B$186,IF(5&lt;=24,$C$186,$D$186)),0)</f>
        <v>0</v>
      </c>
      <c r="G196" s="39">
        <f>ROUND(G177*IF(6&lt;=12,$B$186,IF(6&lt;=24,$C$186,$D$186)),0)</f>
        <v>0</v>
      </c>
      <c r="H196" s="39">
        <f>ROUND(H177*IF(7&lt;=12,$B$186,IF(7&lt;=24,$C$186,$D$186)),0)</f>
        <v>0</v>
      </c>
      <c r="I196" s="39">
        <f>ROUND(I177*IF(8&lt;=12,$B$186,IF(8&lt;=24,$C$186,$D$186)),0)</f>
        <v>0</v>
      </c>
      <c r="J196">
        <f>ROUND(J177*IF(9&lt;=12,$B$186,IF(9&lt;=24,$C$186,$D$186)),0)</f>
        <v>0</v>
      </c>
      <c r="K196">
        <f>ROUND(K177*IF(10&lt;=12,$B$186,IF(10&lt;=24,$C$186,$D$186)),0)</f>
        <v>0</v>
      </c>
      <c r="L196">
        <f>ROUND(L177*IF(11&lt;=12,$B$186,IF(11&lt;=24,$C$186,$D$186)),0)</f>
        <v>0</v>
      </c>
      <c r="M196">
        <f>ROUND(M177*IF(12&lt;=12,$B$186,IF(12&lt;=24,$C$186,$D$186)),0)</f>
        <v>0</v>
      </c>
      <c r="N196">
        <f>ROUND(N177*IF(13&lt;=12,$B$186,IF(13&lt;=24,$C$186,$D$186)),0)</f>
        <v>1</v>
      </c>
      <c r="O196">
        <f>ROUND(O177*IF(14&lt;=12,$B$186,IF(14&lt;=24,$C$186,$D$186)),0)</f>
        <v>1</v>
      </c>
      <c r="P196">
        <f>ROUND(P177*IF(15&lt;=12,$B$186,IF(15&lt;=24,$C$186,$D$186)),0)</f>
        <v>1</v>
      </c>
      <c r="Q196">
        <f>ROUND(Q177*IF(16&lt;=12,$B$186,IF(16&lt;=24,$C$186,$D$186)),0)</f>
        <v>1</v>
      </c>
      <c r="R196">
        <f>ROUND(R177*IF(17&lt;=12,$B$186,IF(17&lt;=24,$C$186,$D$186)),0)</f>
        <v>1</v>
      </c>
      <c r="S196">
        <f>ROUND(S177*IF(18&lt;=12,$B$186,IF(18&lt;=24,$C$186,$D$186)),0)</f>
        <v>1</v>
      </c>
      <c r="T196">
        <f>ROUND(T177*IF(19&lt;=12,$B$186,IF(19&lt;=24,$C$186,$D$186)),0)</f>
        <v>1</v>
      </c>
      <c r="U196">
        <f>ROUND(U177*IF(20&lt;=12,$B$186,IF(20&lt;=24,$C$186,$D$186)),0)</f>
        <v>1</v>
      </c>
      <c r="V196">
        <f>ROUND(V177*IF(21&lt;=12,$B$186,IF(21&lt;=24,$C$186,$D$186)),0)</f>
        <v>1</v>
      </c>
      <c r="W196">
        <f>ROUND(W177*IF(22&lt;=12,$B$186,IF(22&lt;=24,$C$186,$D$186)),0)</f>
        <v>1</v>
      </c>
      <c r="X196">
        <f>ROUND(X177*IF(23&lt;=12,$B$186,IF(23&lt;=24,$C$186,$D$186)),0)</f>
        <v>1</v>
      </c>
      <c r="Y196">
        <f>ROUND(Y177*IF(24&lt;=12,$B$186,IF(24&lt;=24,$C$186,$D$186)),0)</f>
        <v>2</v>
      </c>
      <c r="Z196">
        <f>ROUND(Z177*IF(25&lt;=12,$B$186,IF(25&lt;=24,$C$186,$D$186)),0)</f>
        <v>2</v>
      </c>
      <c r="AA196">
        <f>ROUND(AA177*IF(26&lt;=12,$B$186,IF(26&lt;=24,$C$186,$D$186)),0)</f>
        <v>2</v>
      </c>
      <c r="AB196">
        <f>ROUND(AB177*IF(27&lt;=12,$B$186,IF(27&lt;=24,$C$186,$D$186)),0)</f>
        <v>2</v>
      </c>
      <c r="AC196">
        <f>ROUND(AC177*IF(28&lt;=12,$B$186,IF(28&lt;=24,$C$186,$D$186)),0)</f>
        <v>2</v>
      </c>
      <c r="AD196">
        <f>ROUND(AD177*IF(29&lt;=12,$B$186,IF(29&lt;=24,$C$186,$D$186)),0)</f>
        <v>2</v>
      </c>
      <c r="AE196">
        <f>ROUND(AE177*IF(30&lt;=12,$B$186,IF(30&lt;=24,$C$186,$D$186)),0)</f>
        <v>2</v>
      </c>
      <c r="AF196">
        <f>ROUND(AF177*IF(31&lt;=12,$B$186,IF(31&lt;=24,$C$186,$D$186)),0)</f>
        <v>2</v>
      </c>
      <c r="AG196">
        <f>ROUND(AG177*IF(32&lt;=12,$B$186,IF(32&lt;=24,$C$186,$D$186)),0)</f>
        <v>2</v>
      </c>
      <c r="AH196">
        <f>ROUND(AH177*IF(33&lt;=12,$B$186,IF(33&lt;=24,$C$186,$D$186)),0)</f>
        <v>2</v>
      </c>
      <c r="AI196">
        <f>ROUND(AI177*IF(34&lt;=12,$B$186,IF(34&lt;=24,$C$186,$D$186)),0)</f>
        <v>2</v>
      </c>
      <c r="AJ196">
        <f>ROUND(AJ177*IF(35&lt;=12,$B$186,IF(35&lt;=24,$C$186,$D$186)),0)</f>
        <v>2</v>
      </c>
      <c r="AK196">
        <f>ROUND(AK177*IF(36&lt;=12,$B$186,IF(36&lt;=24,$C$186,$D$186)),0)</f>
        <v>2</v>
      </c>
      <c r="AL196">
        <f>ROUND(AL177*IF(37&lt;=12,$B$186,IF(37&lt;=24,$C$186,$D$186)),0)</f>
        <v>0</v>
      </c>
      <c r="AM196">
        <f>ROUND(AM177*IF(38&lt;=12,$B$186,IF(38&lt;=24,$C$186,$D$186)),0)</f>
        <v>0</v>
      </c>
      <c r="AN196">
        <f>ROUND(AN177*IF(39&lt;=12,$B$186,IF(39&lt;=24,$C$186,$D$186)),0)</f>
        <v>0</v>
      </c>
    </row>
    <row r="197" spans="1:40" ht="14.25" customHeight="1" x14ac:dyDescent="0.45">
      <c r="A197" s="39" t="s">
        <v>795</v>
      </c>
      <c r="B197" s="62"/>
      <c r="C197" s="62"/>
      <c r="D197" s="62"/>
      <c r="E197" s="39">
        <f>E179*'Revenue Model'!E37*12</f>
        <v>12590.76923076923</v>
      </c>
      <c r="F197" s="39">
        <f>F179*'Revenue Model'!F37*12</f>
        <v>20416</v>
      </c>
      <c r="G197" s="39">
        <f>G179*'Revenue Model'!G37*12</f>
        <v>40463.999999999993</v>
      </c>
      <c r="H197" s="39">
        <f>H179*'Revenue Model'!H37*12</f>
        <v>55074.461538461546</v>
      </c>
      <c r="I197" s="39">
        <f>I179*'Revenue Model'!I37*12</f>
        <v>55074.461538461546</v>
      </c>
      <c r="J197">
        <f>J179*'Revenue Model'!J37*12</f>
        <v>55074.461538461546</v>
      </c>
      <c r="K197">
        <f>K179*'Revenue Model'!K37*12</f>
        <v>55074.461538461546</v>
      </c>
      <c r="L197">
        <f>L179*'Revenue Model'!L37*12</f>
        <v>55074.461538461546</v>
      </c>
      <c r="M197">
        <f>M179*'Revenue Model'!M37*12</f>
        <v>55074.461538461546</v>
      </c>
      <c r="N197">
        <f>N179*'Revenue Model'!N37*12</f>
        <v>71800</v>
      </c>
      <c r="O197">
        <f>O179*'Revenue Model'!O37*12</f>
        <v>71800</v>
      </c>
      <c r="P197">
        <f>P179*'Revenue Model'!P37*12</f>
        <v>71800</v>
      </c>
      <c r="Q197">
        <f>Q179*'Revenue Model'!Q37*12</f>
        <v>85628.571428571435</v>
      </c>
      <c r="R197">
        <f>R179*'Revenue Model'!R37*12</f>
        <v>96435</v>
      </c>
      <c r="S197">
        <f>S179*'Revenue Model'!S37*12</f>
        <v>119000</v>
      </c>
      <c r="T197">
        <f>T179*'Revenue Model'!T37*12</f>
        <v>129360</v>
      </c>
      <c r="U197">
        <f>U179*'Revenue Model'!U37*12</f>
        <v>129360</v>
      </c>
      <c r="V197">
        <f>V179*'Revenue Model'!V37*12</f>
        <v>129360</v>
      </c>
      <c r="W197">
        <f>W179*'Revenue Model'!W37*12</f>
        <v>139418.18181818182</v>
      </c>
      <c r="X197">
        <f>X179*'Revenue Model'!X37*12</f>
        <v>168750</v>
      </c>
      <c r="Y197">
        <f>Y179*'Revenue Model'!Y37*12</f>
        <v>192567.69230769231</v>
      </c>
      <c r="Z197">
        <f>Z179*'Revenue Model'!Z37*12</f>
        <v>243672</v>
      </c>
      <c r="AA197">
        <f>AA179*'Revenue Model'!AA37*12</f>
        <v>243672</v>
      </c>
      <c r="AB197">
        <f>AB179*'Revenue Model'!AB37*12</f>
        <v>243672</v>
      </c>
      <c r="AC197">
        <f>AC179*'Revenue Model'!AC37*12</f>
        <v>243672</v>
      </c>
      <c r="AD197">
        <f>AD179*'Revenue Model'!AD37*12</f>
        <v>243672</v>
      </c>
      <c r="AE197">
        <f>AE179*'Revenue Model'!AE37*12</f>
        <v>243672</v>
      </c>
      <c r="AF197">
        <f>AF179*'Revenue Model'!AF37*12</f>
        <v>243672</v>
      </c>
      <c r="AG197">
        <f>AG179*'Revenue Model'!AG37*12</f>
        <v>243672</v>
      </c>
      <c r="AH197">
        <f>AH179*'Revenue Model'!AH37*12</f>
        <v>243672</v>
      </c>
      <c r="AI197">
        <f>AI179*'Revenue Model'!AI37*12</f>
        <v>243672</v>
      </c>
      <c r="AJ197">
        <f>AJ179*'Revenue Model'!AJ37*12</f>
        <v>243672</v>
      </c>
      <c r="AK197">
        <f>AK179*'Revenue Model'!AK37*12</f>
        <v>243672</v>
      </c>
      <c r="AL197">
        <f>AL179*'Revenue Model'!AL37*12</f>
        <v>0</v>
      </c>
      <c r="AM197">
        <f>AM179*'Revenue Model'!AM37*12</f>
        <v>0</v>
      </c>
      <c r="AN197">
        <f>AN179*'Revenue Model'!AN37*12</f>
        <v>0</v>
      </c>
    </row>
    <row r="198" spans="1:40" x14ac:dyDescent="0.45">
      <c r="A198" s="39" t="s">
        <v>796</v>
      </c>
      <c r="B198" s="62"/>
      <c r="C198" s="62"/>
      <c r="D198" s="62"/>
      <c r="E198" s="39">
        <f t="shared" ref="E198:AN198" si="20">IF((E169+E171+E173)*$B$210&gt;0,E197/((E169+E171+E173)*$B$210),0)</f>
        <v>0.31476923076923075</v>
      </c>
      <c r="F198" s="39">
        <f t="shared" si="20"/>
        <v>0.51039999999999996</v>
      </c>
      <c r="G198" s="39">
        <f t="shared" si="20"/>
        <v>1.0115999999999998</v>
      </c>
      <c r="H198" s="39">
        <f t="shared" si="20"/>
        <v>1.3768615384615386</v>
      </c>
      <c r="I198" s="39">
        <f t="shared" si="20"/>
        <v>1.3768615384615386</v>
      </c>
      <c r="J198">
        <f t="shared" si="20"/>
        <v>1.3768615384615386</v>
      </c>
      <c r="K198">
        <f t="shared" si="20"/>
        <v>1.3768615384615386</v>
      </c>
      <c r="L198">
        <f t="shared" si="20"/>
        <v>1.3768615384615386</v>
      </c>
      <c r="M198">
        <f t="shared" si="20"/>
        <v>1.3768615384615386</v>
      </c>
      <c r="N198">
        <f t="shared" si="20"/>
        <v>1.7949999999999999</v>
      </c>
      <c r="O198">
        <f t="shared" si="20"/>
        <v>1.7949999999999999</v>
      </c>
      <c r="P198">
        <f t="shared" si="20"/>
        <v>1.7949999999999999</v>
      </c>
      <c r="Q198">
        <f t="shared" si="20"/>
        <v>1.070357142857143</v>
      </c>
      <c r="R198">
        <f t="shared" si="20"/>
        <v>1.2054374999999999</v>
      </c>
      <c r="S198">
        <f t="shared" si="20"/>
        <v>1.4875</v>
      </c>
      <c r="T198">
        <f t="shared" si="20"/>
        <v>1.617</v>
      </c>
      <c r="U198">
        <f t="shared" si="20"/>
        <v>1.617</v>
      </c>
      <c r="V198">
        <f t="shared" si="20"/>
        <v>1.617</v>
      </c>
      <c r="W198">
        <f t="shared" si="20"/>
        <v>1.1618181818181819</v>
      </c>
      <c r="X198">
        <f t="shared" si="20"/>
        <v>1.40625</v>
      </c>
      <c r="Y198">
        <f t="shared" si="20"/>
        <v>1.6047307692307693</v>
      </c>
      <c r="Z198">
        <f t="shared" si="20"/>
        <v>2.0306000000000002</v>
      </c>
      <c r="AA198">
        <f t="shared" si="20"/>
        <v>2.0306000000000002</v>
      </c>
      <c r="AB198">
        <f t="shared" si="20"/>
        <v>2.0306000000000002</v>
      </c>
      <c r="AC198">
        <f t="shared" si="20"/>
        <v>2.0306000000000002</v>
      </c>
      <c r="AD198">
        <f t="shared" si="20"/>
        <v>2.0306000000000002</v>
      </c>
      <c r="AE198">
        <f t="shared" si="20"/>
        <v>2.0306000000000002</v>
      </c>
      <c r="AF198">
        <f t="shared" si="20"/>
        <v>2.0306000000000002</v>
      </c>
      <c r="AG198">
        <f t="shared" si="20"/>
        <v>2.0306000000000002</v>
      </c>
      <c r="AH198">
        <f t="shared" si="20"/>
        <v>2.0306000000000002</v>
      </c>
      <c r="AI198">
        <f t="shared" si="20"/>
        <v>2.0306000000000002</v>
      </c>
      <c r="AJ198">
        <f t="shared" si="20"/>
        <v>2.0306000000000002</v>
      </c>
      <c r="AK198">
        <f t="shared" si="20"/>
        <v>2.0306000000000002</v>
      </c>
      <c r="AL198">
        <f t="shared" si="20"/>
        <v>0</v>
      </c>
      <c r="AM198">
        <f t="shared" si="20"/>
        <v>0</v>
      </c>
      <c r="AN198">
        <f t="shared" si="20"/>
        <v>0</v>
      </c>
    </row>
    <row r="199" spans="1:40" x14ac:dyDescent="0.45">
      <c r="A199" s="39" t="s">
        <v>797</v>
      </c>
      <c r="B199" s="62"/>
      <c r="C199" s="62"/>
      <c r="D199" s="62"/>
      <c r="E199" s="39">
        <f t="shared" ref="E199:AN199" si="21">IF(E198&gt;=1.25,$B$209,IF(E198&gt;=1,$B$208,$B$207))</f>
        <v>0.1</v>
      </c>
      <c r="F199" s="39">
        <f t="shared" si="21"/>
        <v>0.1</v>
      </c>
      <c r="G199" s="39">
        <f t="shared" si="21"/>
        <v>0.12</v>
      </c>
      <c r="H199" s="39">
        <f t="shared" si="21"/>
        <v>0.15</v>
      </c>
      <c r="I199" s="39">
        <f t="shared" si="21"/>
        <v>0.15</v>
      </c>
      <c r="J199">
        <f t="shared" si="21"/>
        <v>0.15</v>
      </c>
      <c r="K199">
        <f t="shared" si="21"/>
        <v>0.15</v>
      </c>
      <c r="L199">
        <f t="shared" si="21"/>
        <v>0.15</v>
      </c>
      <c r="M199">
        <f t="shared" si="21"/>
        <v>0.15</v>
      </c>
      <c r="N199">
        <f t="shared" si="21"/>
        <v>0.15</v>
      </c>
      <c r="O199">
        <f t="shared" si="21"/>
        <v>0.15</v>
      </c>
      <c r="P199">
        <f t="shared" si="21"/>
        <v>0.15</v>
      </c>
      <c r="Q199">
        <f t="shared" si="21"/>
        <v>0.12</v>
      </c>
      <c r="R199">
        <f t="shared" si="21"/>
        <v>0.12</v>
      </c>
      <c r="S199">
        <f t="shared" si="21"/>
        <v>0.15</v>
      </c>
      <c r="T199">
        <f t="shared" si="21"/>
        <v>0.15</v>
      </c>
      <c r="U199">
        <f t="shared" si="21"/>
        <v>0.15</v>
      </c>
      <c r="V199">
        <f t="shared" si="21"/>
        <v>0.15</v>
      </c>
      <c r="W199">
        <f t="shared" si="21"/>
        <v>0.12</v>
      </c>
      <c r="X199">
        <f t="shared" si="21"/>
        <v>0.15</v>
      </c>
      <c r="Y199">
        <f t="shared" si="21"/>
        <v>0.15</v>
      </c>
      <c r="Z199">
        <f t="shared" si="21"/>
        <v>0.15</v>
      </c>
      <c r="AA199">
        <f t="shared" si="21"/>
        <v>0.15</v>
      </c>
      <c r="AB199">
        <f t="shared" si="21"/>
        <v>0.15</v>
      </c>
      <c r="AC199">
        <f t="shared" si="21"/>
        <v>0.15</v>
      </c>
      <c r="AD199">
        <f t="shared" si="21"/>
        <v>0.15</v>
      </c>
      <c r="AE199">
        <f t="shared" si="21"/>
        <v>0.15</v>
      </c>
      <c r="AF199">
        <f t="shared" si="21"/>
        <v>0.15</v>
      </c>
      <c r="AG199">
        <f t="shared" si="21"/>
        <v>0.15</v>
      </c>
      <c r="AH199">
        <f t="shared" si="21"/>
        <v>0.15</v>
      </c>
      <c r="AI199">
        <f t="shared" si="21"/>
        <v>0.15</v>
      </c>
      <c r="AJ199">
        <f t="shared" si="21"/>
        <v>0.15</v>
      </c>
      <c r="AK199">
        <f t="shared" si="21"/>
        <v>0.15</v>
      </c>
      <c r="AL199">
        <f t="shared" si="21"/>
        <v>0.1</v>
      </c>
      <c r="AM199">
        <f t="shared" si="21"/>
        <v>0.1</v>
      </c>
      <c r="AN199">
        <f t="shared" si="21"/>
        <v>0.1</v>
      </c>
    </row>
    <row r="200" spans="1:40" ht="14.25" customHeight="1" x14ac:dyDescent="0.45">
      <c r="A200" s="39" t="s">
        <v>798</v>
      </c>
      <c r="B200" s="62"/>
      <c r="C200" s="62"/>
      <c r="D200" s="62"/>
      <c r="E200" s="39">
        <f t="shared" ref="E200:AN200" si="22">E197*E199</f>
        <v>1259.0769230769231</v>
      </c>
      <c r="F200" s="39">
        <f t="shared" si="22"/>
        <v>2041.6000000000001</v>
      </c>
      <c r="G200" s="39">
        <f t="shared" si="22"/>
        <v>4855.6799999999994</v>
      </c>
      <c r="H200" s="39">
        <f t="shared" si="22"/>
        <v>8261.1692307692319</v>
      </c>
      <c r="I200" s="39">
        <f t="shared" si="22"/>
        <v>8261.1692307692319</v>
      </c>
      <c r="J200">
        <f t="shared" si="22"/>
        <v>8261.1692307692319</v>
      </c>
      <c r="K200">
        <f t="shared" si="22"/>
        <v>8261.1692307692319</v>
      </c>
      <c r="L200">
        <f t="shared" si="22"/>
        <v>8261.1692307692319</v>
      </c>
      <c r="M200">
        <f t="shared" si="22"/>
        <v>8261.1692307692319</v>
      </c>
      <c r="N200">
        <f t="shared" si="22"/>
        <v>10770</v>
      </c>
      <c r="O200">
        <f t="shared" si="22"/>
        <v>10770</v>
      </c>
      <c r="P200">
        <f t="shared" si="22"/>
        <v>10770</v>
      </c>
      <c r="Q200">
        <f t="shared" si="22"/>
        <v>10275.428571428572</v>
      </c>
      <c r="R200">
        <f t="shared" si="22"/>
        <v>11572.199999999999</v>
      </c>
      <c r="S200">
        <f t="shared" si="22"/>
        <v>17850</v>
      </c>
      <c r="T200">
        <f t="shared" si="22"/>
        <v>19404</v>
      </c>
      <c r="U200">
        <f t="shared" si="22"/>
        <v>19404</v>
      </c>
      <c r="V200">
        <f t="shared" si="22"/>
        <v>19404</v>
      </c>
      <c r="W200">
        <f t="shared" si="22"/>
        <v>16730.18181818182</v>
      </c>
      <c r="X200">
        <f t="shared" si="22"/>
        <v>25312.5</v>
      </c>
      <c r="Y200">
        <f t="shared" si="22"/>
        <v>28885.153846153848</v>
      </c>
      <c r="Z200">
        <f t="shared" si="22"/>
        <v>36550.799999999996</v>
      </c>
      <c r="AA200">
        <f t="shared" si="22"/>
        <v>36550.799999999996</v>
      </c>
      <c r="AB200">
        <f t="shared" si="22"/>
        <v>36550.799999999996</v>
      </c>
      <c r="AC200">
        <f t="shared" si="22"/>
        <v>36550.799999999996</v>
      </c>
      <c r="AD200">
        <f t="shared" si="22"/>
        <v>36550.799999999996</v>
      </c>
      <c r="AE200">
        <f t="shared" si="22"/>
        <v>36550.799999999996</v>
      </c>
      <c r="AF200">
        <f t="shared" si="22"/>
        <v>36550.799999999996</v>
      </c>
      <c r="AG200">
        <f t="shared" si="22"/>
        <v>36550.799999999996</v>
      </c>
      <c r="AH200">
        <f t="shared" si="22"/>
        <v>36550.799999999996</v>
      </c>
      <c r="AI200">
        <f t="shared" si="22"/>
        <v>36550.799999999996</v>
      </c>
      <c r="AJ200">
        <f t="shared" si="22"/>
        <v>36550.799999999996</v>
      </c>
      <c r="AK200">
        <f t="shared" si="22"/>
        <v>36550.799999999996</v>
      </c>
      <c r="AL200">
        <f t="shared" si="22"/>
        <v>0</v>
      </c>
      <c r="AM200">
        <f t="shared" si="22"/>
        <v>0</v>
      </c>
      <c r="AN200">
        <f t="shared" si="22"/>
        <v>0</v>
      </c>
    </row>
    <row r="201" spans="1:40" ht="14.25" customHeight="1" x14ac:dyDescent="0.45">
      <c r="A201" s="39" t="s">
        <v>799</v>
      </c>
      <c r="B201" s="62"/>
      <c r="C201" s="62"/>
      <c r="D201" s="62"/>
      <c r="E201" s="39" t="s">
        <v>70</v>
      </c>
      <c r="F201" s="39" t="s">
        <v>71</v>
      </c>
      <c r="G201" s="39" t="s">
        <v>72</v>
      </c>
      <c r="H201" s="39" t="s">
        <v>73</v>
      </c>
      <c r="I201" s="39" t="s">
        <v>74</v>
      </c>
      <c r="J201" t="s">
        <v>75</v>
      </c>
      <c r="K201" t="s">
        <v>76</v>
      </c>
      <c r="L201" t="s">
        <v>77</v>
      </c>
      <c r="M201" t="s">
        <v>78</v>
      </c>
      <c r="N201" t="s">
        <v>79</v>
      </c>
      <c r="O201" t="s">
        <v>80</v>
      </c>
      <c r="P201" t="s">
        <v>81</v>
      </c>
      <c r="Q201" t="s">
        <v>82</v>
      </c>
      <c r="R201" t="s">
        <v>83</v>
      </c>
      <c r="S201" t="s">
        <v>84</v>
      </c>
      <c r="T201" t="s">
        <v>85</v>
      </c>
      <c r="U201" t="s">
        <v>86</v>
      </c>
      <c r="V201" t="s">
        <v>87</v>
      </c>
      <c r="W201" t="s">
        <v>88</v>
      </c>
      <c r="X201" t="s">
        <v>89</v>
      </c>
      <c r="Y201" t="s">
        <v>90</v>
      </c>
      <c r="Z201" t="s">
        <v>91</v>
      </c>
      <c r="AA201" t="s">
        <v>92</v>
      </c>
      <c r="AB201" t="s">
        <v>93</v>
      </c>
      <c r="AC201" t="s">
        <v>94</v>
      </c>
      <c r="AD201" t="s">
        <v>95</v>
      </c>
      <c r="AE201" t="s">
        <v>96</v>
      </c>
      <c r="AF201" t="s">
        <v>97</v>
      </c>
      <c r="AG201" t="s">
        <v>98</v>
      </c>
      <c r="AH201" t="s">
        <v>99</v>
      </c>
      <c r="AI201" t="s">
        <v>100</v>
      </c>
      <c r="AJ201" t="s">
        <v>101</v>
      </c>
      <c r="AK201" t="s">
        <v>102</v>
      </c>
    </row>
    <row r="202" spans="1:40" ht="14.25" customHeight="1" x14ac:dyDescent="0.45">
      <c r="A202" s="39" t="s">
        <v>800</v>
      </c>
      <c r="B202" s="62"/>
      <c r="C202" s="62"/>
      <c r="D202" s="62"/>
      <c r="E202" s="40">
        <f t="shared" ref="E202:AN202" si="23">MAX(E200,E188)</f>
        <v>1259.0769230769231</v>
      </c>
      <c r="F202" s="39">
        <f t="shared" si="23"/>
        <v>2041.6000000000001</v>
      </c>
      <c r="G202" s="39">
        <f t="shared" si="23"/>
        <v>4855.6799999999994</v>
      </c>
      <c r="H202" s="39">
        <f t="shared" si="23"/>
        <v>8261.1692307692319</v>
      </c>
      <c r="I202" s="39">
        <f t="shared" si="23"/>
        <v>8261.1692307692319</v>
      </c>
      <c r="J202">
        <f t="shared" si="23"/>
        <v>8261.1692307692319</v>
      </c>
      <c r="K202">
        <f t="shared" si="23"/>
        <v>8261.1692307692319</v>
      </c>
      <c r="L202">
        <f t="shared" si="23"/>
        <v>8261.1692307692319</v>
      </c>
      <c r="M202">
        <f t="shared" si="23"/>
        <v>8261.1692307692319</v>
      </c>
      <c r="N202">
        <f t="shared" si="23"/>
        <v>10770</v>
      </c>
      <c r="O202">
        <f t="shared" si="23"/>
        <v>10770</v>
      </c>
      <c r="P202">
        <f t="shared" si="23"/>
        <v>10770</v>
      </c>
      <c r="Q202">
        <f t="shared" si="23"/>
        <v>10275.428571428572</v>
      </c>
      <c r="R202">
        <f t="shared" si="23"/>
        <v>11572.199999999999</v>
      </c>
      <c r="S202">
        <f t="shared" si="23"/>
        <v>17850</v>
      </c>
      <c r="T202">
        <f t="shared" si="23"/>
        <v>19404</v>
      </c>
      <c r="U202">
        <f t="shared" si="23"/>
        <v>19404</v>
      </c>
      <c r="V202">
        <f t="shared" si="23"/>
        <v>19404</v>
      </c>
      <c r="W202">
        <f t="shared" si="23"/>
        <v>16730.18181818182</v>
      </c>
      <c r="X202">
        <f t="shared" si="23"/>
        <v>25312.5</v>
      </c>
      <c r="Y202">
        <f t="shared" si="23"/>
        <v>28885.153846153848</v>
      </c>
      <c r="Z202">
        <f t="shared" si="23"/>
        <v>36550.799999999996</v>
      </c>
      <c r="AA202">
        <f t="shared" si="23"/>
        <v>36550.799999999996</v>
      </c>
      <c r="AB202">
        <f t="shared" si="23"/>
        <v>36550.799999999996</v>
      </c>
      <c r="AC202">
        <f t="shared" si="23"/>
        <v>36550.799999999996</v>
      </c>
      <c r="AD202">
        <f t="shared" si="23"/>
        <v>36550.799999999996</v>
      </c>
      <c r="AE202">
        <f t="shared" si="23"/>
        <v>36550.799999999996</v>
      </c>
      <c r="AF202">
        <f t="shared" si="23"/>
        <v>36550.799999999996</v>
      </c>
      <c r="AG202">
        <f t="shared" si="23"/>
        <v>36550.799999999996</v>
      </c>
      <c r="AH202">
        <f t="shared" si="23"/>
        <v>36550.799999999996</v>
      </c>
      <c r="AI202">
        <f t="shared" si="23"/>
        <v>36550.799999999996</v>
      </c>
      <c r="AJ202">
        <f t="shared" si="23"/>
        <v>36550.799999999996</v>
      </c>
      <c r="AK202">
        <f t="shared" si="23"/>
        <v>36550.799999999996</v>
      </c>
      <c r="AL202">
        <f t="shared" si="23"/>
        <v>0</v>
      </c>
      <c r="AM202">
        <f t="shared" si="23"/>
        <v>0</v>
      </c>
      <c r="AN202">
        <f t="shared" si="23"/>
        <v>0</v>
      </c>
    </row>
    <row r="203" spans="1:40" ht="14.25" customHeight="1" x14ac:dyDescent="0.45">
      <c r="A203" s="39" t="s">
        <v>801</v>
      </c>
      <c r="B203" s="62"/>
      <c r="C203" s="62"/>
      <c r="D203" s="62"/>
      <c r="E203" s="39">
        <f t="shared" ref="E203:AN203" si="24">E202*((1-$B$212)*1+$B$212*$B$213)</f>
        <v>944.30769230769238</v>
      </c>
      <c r="F203" s="39">
        <f t="shared" si="24"/>
        <v>1531.2</v>
      </c>
      <c r="G203" s="39">
        <f t="shared" si="24"/>
        <v>3641.7599999999993</v>
      </c>
      <c r="H203" s="39">
        <f t="shared" si="24"/>
        <v>6195.876923076924</v>
      </c>
      <c r="I203" s="39">
        <f t="shared" si="24"/>
        <v>6195.876923076924</v>
      </c>
      <c r="J203">
        <f t="shared" si="24"/>
        <v>6195.876923076924</v>
      </c>
      <c r="K203">
        <f t="shared" si="24"/>
        <v>6195.876923076924</v>
      </c>
      <c r="L203">
        <f t="shared" si="24"/>
        <v>6195.876923076924</v>
      </c>
      <c r="M203">
        <f t="shared" si="24"/>
        <v>6195.876923076924</v>
      </c>
      <c r="N203">
        <f t="shared" si="24"/>
        <v>8077.5</v>
      </c>
      <c r="O203">
        <f t="shared" si="24"/>
        <v>8077.5</v>
      </c>
      <c r="P203">
        <f t="shared" si="24"/>
        <v>8077.5</v>
      </c>
      <c r="Q203">
        <f t="shared" si="24"/>
        <v>7706.5714285714294</v>
      </c>
      <c r="R203">
        <f t="shared" si="24"/>
        <v>8679.15</v>
      </c>
      <c r="S203">
        <f t="shared" si="24"/>
        <v>13387.5</v>
      </c>
      <c r="T203">
        <f t="shared" si="24"/>
        <v>14553</v>
      </c>
      <c r="U203">
        <f t="shared" si="24"/>
        <v>14553</v>
      </c>
      <c r="V203">
        <f t="shared" si="24"/>
        <v>14553</v>
      </c>
      <c r="W203">
        <f t="shared" si="24"/>
        <v>12547.636363636364</v>
      </c>
      <c r="X203">
        <f t="shared" si="24"/>
        <v>18984.375</v>
      </c>
      <c r="Y203">
        <f t="shared" si="24"/>
        <v>21663.865384615387</v>
      </c>
      <c r="Z203">
        <f t="shared" si="24"/>
        <v>27413.1</v>
      </c>
      <c r="AA203">
        <f t="shared" si="24"/>
        <v>27413.1</v>
      </c>
      <c r="AB203">
        <f t="shared" si="24"/>
        <v>27413.1</v>
      </c>
      <c r="AC203">
        <f t="shared" si="24"/>
        <v>27413.1</v>
      </c>
      <c r="AD203">
        <f t="shared" si="24"/>
        <v>27413.1</v>
      </c>
      <c r="AE203">
        <f t="shared" si="24"/>
        <v>27413.1</v>
      </c>
      <c r="AF203">
        <f t="shared" si="24"/>
        <v>27413.1</v>
      </c>
      <c r="AG203">
        <f t="shared" si="24"/>
        <v>27413.1</v>
      </c>
      <c r="AH203">
        <f t="shared" si="24"/>
        <v>27413.1</v>
      </c>
      <c r="AI203">
        <f t="shared" si="24"/>
        <v>27413.1</v>
      </c>
      <c r="AJ203">
        <f t="shared" si="24"/>
        <v>27413.1</v>
      </c>
      <c r="AK203">
        <f t="shared" si="24"/>
        <v>27413.1</v>
      </c>
      <c r="AL203">
        <f t="shared" si="24"/>
        <v>0</v>
      </c>
      <c r="AM203">
        <f t="shared" si="24"/>
        <v>0</v>
      </c>
      <c r="AN203">
        <f t="shared" si="24"/>
        <v>0</v>
      </c>
    </row>
    <row r="204" spans="1:40" ht="14.25" customHeight="1" x14ac:dyDescent="0.45">
      <c r="A204" s="39" t="s">
        <v>802</v>
      </c>
      <c r="B204" s="62"/>
      <c r="C204" s="62"/>
      <c r="D204" s="62"/>
      <c r="E204" s="39">
        <f>0</f>
        <v>0</v>
      </c>
      <c r="F204" s="39">
        <f>0</f>
        <v>0</v>
      </c>
      <c r="G204" s="39">
        <f>0</f>
        <v>0</v>
      </c>
      <c r="H204" s="39">
        <f>0</f>
        <v>0</v>
      </c>
      <c r="I204" s="39">
        <f>0</f>
        <v>0</v>
      </c>
      <c r="J204">
        <f>0</f>
        <v>0</v>
      </c>
      <c r="K204">
        <f t="shared" ref="K204:AN204" si="25">E202*$B$212*$B$214</f>
        <v>314.76923076923077</v>
      </c>
      <c r="L204">
        <f t="shared" si="25"/>
        <v>510.40000000000003</v>
      </c>
      <c r="M204">
        <f t="shared" si="25"/>
        <v>1213.9199999999998</v>
      </c>
      <c r="N204">
        <f t="shared" si="25"/>
        <v>2065.292307692308</v>
      </c>
      <c r="O204">
        <f t="shared" si="25"/>
        <v>2065.292307692308</v>
      </c>
      <c r="P204">
        <f t="shared" si="25"/>
        <v>2065.292307692308</v>
      </c>
      <c r="Q204">
        <f t="shared" si="25"/>
        <v>2065.292307692308</v>
      </c>
      <c r="R204">
        <f t="shared" si="25"/>
        <v>2065.292307692308</v>
      </c>
      <c r="S204">
        <f t="shared" si="25"/>
        <v>2065.292307692308</v>
      </c>
      <c r="T204">
        <f t="shared" si="25"/>
        <v>2692.5</v>
      </c>
      <c r="U204">
        <f t="shared" si="25"/>
        <v>2692.5</v>
      </c>
      <c r="V204">
        <f t="shared" si="25"/>
        <v>2692.5</v>
      </c>
      <c r="W204">
        <f t="shared" si="25"/>
        <v>2568.8571428571431</v>
      </c>
      <c r="X204">
        <f t="shared" si="25"/>
        <v>2893.0499999999997</v>
      </c>
      <c r="Y204">
        <f t="shared" si="25"/>
        <v>4462.5</v>
      </c>
      <c r="Z204">
        <f t="shared" si="25"/>
        <v>4851</v>
      </c>
      <c r="AA204">
        <f t="shared" si="25"/>
        <v>4851</v>
      </c>
      <c r="AB204">
        <f t="shared" si="25"/>
        <v>4851</v>
      </c>
      <c r="AC204">
        <f t="shared" si="25"/>
        <v>4182.545454545455</v>
      </c>
      <c r="AD204">
        <f t="shared" si="25"/>
        <v>6328.125</v>
      </c>
      <c r="AE204">
        <f t="shared" si="25"/>
        <v>7221.2884615384619</v>
      </c>
      <c r="AF204">
        <f t="shared" si="25"/>
        <v>9137.6999999999989</v>
      </c>
      <c r="AG204">
        <f t="shared" si="25"/>
        <v>9137.6999999999989</v>
      </c>
      <c r="AH204">
        <f t="shared" si="25"/>
        <v>9137.6999999999989</v>
      </c>
      <c r="AI204">
        <f t="shared" si="25"/>
        <v>9137.6999999999989</v>
      </c>
      <c r="AJ204">
        <f t="shared" si="25"/>
        <v>9137.6999999999989</v>
      </c>
      <c r="AK204">
        <f t="shared" si="25"/>
        <v>9137.6999999999989</v>
      </c>
      <c r="AL204">
        <f t="shared" si="25"/>
        <v>9137.6999999999989</v>
      </c>
      <c r="AM204">
        <f t="shared" si="25"/>
        <v>9137.6999999999989</v>
      </c>
      <c r="AN204">
        <f t="shared" si="25"/>
        <v>9137.6999999999989</v>
      </c>
    </row>
    <row r="205" spans="1:40" ht="14.25" customHeight="1" x14ac:dyDescent="0.45">
      <c r="A205" s="39" t="s">
        <v>803</v>
      </c>
      <c r="B205" s="62"/>
      <c r="C205" s="62"/>
      <c r="D205" s="62"/>
      <c r="E205" s="39">
        <f t="shared" ref="E205:AN205" si="26">E203+E204</f>
        <v>944.30769230769238</v>
      </c>
      <c r="F205" s="39">
        <f t="shared" si="26"/>
        <v>1531.2</v>
      </c>
      <c r="G205" s="39">
        <f t="shared" si="26"/>
        <v>3641.7599999999993</v>
      </c>
      <c r="H205" s="39">
        <f t="shared" si="26"/>
        <v>6195.876923076924</v>
      </c>
      <c r="I205" s="39">
        <f t="shared" si="26"/>
        <v>6195.876923076924</v>
      </c>
      <c r="J205">
        <f t="shared" si="26"/>
        <v>6195.876923076924</v>
      </c>
      <c r="K205">
        <f t="shared" si="26"/>
        <v>6510.6461538461544</v>
      </c>
      <c r="L205">
        <f t="shared" si="26"/>
        <v>6706.2769230769236</v>
      </c>
      <c r="M205">
        <f t="shared" si="26"/>
        <v>7409.796923076924</v>
      </c>
      <c r="N205">
        <f t="shared" si="26"/>
        <v>10142.792307692307</v>
      </c>
      <c r="O205">
        <f t="shared" si="26"/>
        <v>10142.792307692307</v>
      </c>
      <c r="P205">
        <f t="shared" si="26"/>
        <v>10142.792307692307</v>
      </c>
      <c r="Q205">
        <f t="shared" si="26"/>
        <v>9771.8637362637382</v>
      </c>
      <c r="R205">
        <f t="shared" si="26"/>
        <v>10744.442307692309</v>
      </c>
      <c r="S205">
        <f t="shared" si="26"/>
        <v>15452.792307692307</v>
      </c>
      <c r="T205">
        <f t="shared" si="26"/>
        <v>17245.5</v>
      </c>
      <c r="U205">
        <f t="shared" si="26"/>
        <v>17245.5</v>
      </c>
      <c r="V205">
        <f t="shared" si="26"/>
        <v>17245.5</v>
      </c>
      <c r="W205">
        <f t="shared" si="26"/>
        <v>15116.493506493507</v>
      </c>
      <c r="X205">
        <f t="shared" si="26"/>
        <v>21877.424999999999</v>
      </c>
      <c r="Y205">
        <f t="shared" si="26"/>
        <v>26126.365384615387</v>
      </c>
      <c r="Z205">
        <f t="shared" si="26"/>
        <v>32264.1</v>
      </c>
      <c r="AA205">
        <f t="shared" si="26"/>
        <v>32264.1</v>
      </c>
      <c r="AB205">
        <f t="shared" si="26"/>
        <v>32264.1</v>
      </c>
      <c r="AC205">
        <f t="shared" si="26"/>
        <v>31595.645454545454</v>
      </c>
      <c r="AD205">
        <f t="shared" si="26"/>
        <v>33741.224999999999</v>
      </c>
      <c r="AE205">
        <f t="shared" si="26"/>
        <v>34634.38846153846</v>
      </c>
      <c r="AF205">
        <f t="shared" si="26"/>
        <v>36550.799999999996</v>
      </c>
      <c r="AG205">
        <f t="shared" si="26"/>
        <v>36550.799999999996</v>
      </c>
      <c r="AH205">
        <f t="shared" si="26"/>
        <v>36550.799999999996</v>
      </c>
      <c r="AI205">
        <f t="shared" si="26"/>
        <v>36550.799999999996</v>
      </c>
      <c r="AJ205">
        <f t="shared" si="26"/>
        <v>36550.799999999996</v>
      </c>
      <c r="AK205">
        <f t="shared" si="26"/>
        <v>36550.799999999996</v>
      </c>
      <c r="AL205">
        <f t="shared" si="26"/>
        <v>9137.6999999999989</v>
      </c>
      <c r="AM205">
        <f t="shared" si="26"/>
        <v>9137.6999999999989</v>
      </c>
      <c r="AN205">
        <f t="shared" si="26"/>
        <v>9137.6999999999989</v>
      </c>
    </row>
    <row r="206" spans="1:40" ht="14.25" customHeight="1" x14ac:dyDescent="0.45">
      <c r="A206" s="75" t="s">
        <v>804</v>
      </c>
      <c r="B206" s="67"/>
      <c r="C206" s="67"/>
      <c r="D206" s="67"/>
      <c r="E206" s="67"/>
      <c r="F206" s="67"/>
      <c r="G206" s="67"/>
      <c r="H206" s="67"/>
      <c r="I206" s="67"/>
    </row>
    <row r="207" spans="1:40" x14ac:dyDescent="0.45">
      <c r="A207" s="39" t="s">
        <v>805</v>
      </c>
      <c r="B207" s="82">
        <v>0.1</v>
      </c>
      <c r="C207" s="62"/>
      <c r="D207" s="62"/>
      <c r="E207" s="62"/>
      <c r="F207" s="62"/>
      <c r="G207" s="62"/>
      <c r="H207" s="62"/>
      <c r="I207" s="62"/>
    </row>
    <row r="208" spans="1:40" x14ac:dyDescent="0.45">
      <c r="A208" s="39" t="s">
        <v>806</v>
      </c>
      <c r="B208" s="82">
        <v>0.12</v>
      </c>
      <c r="C208" s="62"/>
      <c r="D208" s="62"/>
      <c r="E208" s="62"/>
      <c r="F208" s="62"/>
      <c r="G208" s="62"/>
      <c r="H208" s="62"/>
      <c r="I208" s="62"/>
    </row>
    <row r="209" spans="1:40" x14ac:dyDescent="0.45">
      <c r="A209" s="39" t="s">
        <v>807</v>
      </c>
      <c r="B209" s="82">
        <v>0.15</v>
      </c>
      <c r="C209" s="62"/>
      <c r="D209" s="62"/>
      <c r="E209" s="62"/>
      <c r="F209" s="62"/>
      <c r="G209" s="62"/>
      <c r="H209" s="62"/>
      <c r="I209" s="62"/>
    </row>
    <row r="210" spans="1:40" x14ac:dyDescent="0.45">
      <c r="A210" s="39" t="s">
        <v>808</v>
      </c>
      <c r="B210" s="82">
        <v>40000</v>
      </c>
      <c r="C210" s="62"/>
      <c r="D210" s="62"/>
      <c r="E210" s="62"/>
      <c r="F210" s="62"/>
      <c r="G210" s="62"/>
      <c r="H210" s="62"/>
      <c r="I210" s="62"/>
    </row>
    <row r="211" spans="1:40" x14ac:dyDescent="0.45">
      <c r="A211" s="39" t="s">
        <v>809</v>
      </c>
      <c r="B211" s="62"/>
      <c r="C211" s="62"/>
      <c r="D211" s="62"/>
      <c r="E211" s="62"/>
      <c r="F211" s="62"/>
      <c r="G211" s="62"/>
      <c r="H211" s="62"/>
      <c r="I211" s="62"/>
    </row>
    <row r="212" spans="1:40" x14ac:dyDescent="0.45">
      <c r="A212" s="39" t="s">
        <v>810</v>
      </c>
      <c r="B212" s="82">
        <v>0.5</v>
      </c>
      <c r="C212" s="62"/>
      <c r="D212" s="62"/>
      <c r="E212" s="62"/>
      <c r="F212" s="62"/>
      <c r="G212" s="62"/>
      <c r="H212" s="62"/>
      <c r="I212" s="62"/>
    </row>
    <row r="213" spans="1:40" x14ac:dyDescent="0.45">
      <c r="A213" s="39" t="s">
        <v>811</v>
      </c>
      <c r="B213" s="82">
        <v>0.5</v>
      </c>
      <c r="C213" s="62"/>
      <c r="D213" s="62"/>
      <c r="E213" s="62"/>
      <c r="F213" s="62"/>
      <c r="G213" s="62"/>
      <c r="H213" s="62"/>
      <c r="I213" s="62"/>
    </row>
    <row r="214" spans="1:40" x14ac:dyDescent="0.45">
      <c r="A214" s="39" t="s">
        <v>812</v>
      </c>
      <c r="B214" s="82">
        <v>0.5</v>
      </c>
      <c r="C214" s="62"/>
      <c r="D214" s="62"/>
      <c r="E214" s="62"/>
      <c r="F214" s="62"/>
      <c r="G214" s="62"/>
      <c r="H214" s="62"/>
      <c r="I214" s="62"/>
    </row>
    <row r="215" spans="1:40" x14ac:dyDescent="0.45">
      <c r="A215" s="39" t="s">
        <v>813</v>
      </c>
      <c r="B215" s="82">
        <v>6</v>
      </c>
      <c r="C215" s="62"/>
      <c r="D215" s="62"/>
      <c r="E215" s="62"/>
      <c r="F215" s="62"/>
      <c r="G215" s="62"/>
      <c r="H215" s="62"/>
      <c r="I215" s="62"/>
    </row>
    <row r="216" spans="1:40" x14ac:dyDescent="0.45">
      <c r="A216" s="39" t="s">
        <v>814</v>
      </c>
      <c r="B216" s="62"/>
      <c r="C216" s="62"/>
      <c r="D216" s="62"/>
      <c r="E216" s="62"/>
      <c r="F216" s="62"/>
      <c r="G216" s="62"/>
      <c r="H216" s="62"/>
      <c r="I216" s="62"/>
    </row>
    <row r="217" spans="1:40" x14ac:dyDescent="0.45">
      <c r="A217" s="39" t="s">
        <v>815</v>
      </c>
      <c r="B217" s="82">
        <v>0.05</v>
      </c>
      <c r="C217" s="62"/>
      <c r="D217" s="62"/>
      <c r="E217" s="62"/>
      <c r="F217" s="62"/>
      <c r="G217" s="62"/>
      <c r="H217" s="62"/>
      <c r="I217" s="62"/>
    </row>
    <row r="218" spans="1:40" x14ac:dyDescent="0.45">
      <c r="A218" s="39" t="s">
        <v>816</v>
      </c>
      <c r="B218" s="82">
        <v>0.1</v>
      </c>
      <c r="C218" s="62"/>
      <c r="D218" s="62"/>
      <c r="E218" s="62"/>
      <c r="F218" s="62"/>
      <c r="G218" s="62"/>
      <c r="H218" s="62"/>
      <c r="I218" s="62"/>
    </row>
    <row r="219" spans="1:40" x14ac:dyDescent="0.45">
      <c r="A219" s="39" t="s">
        <v>817</v>
      </c>
      <c r="B219" s="62"/>
      <c r="C219" s="62"/>
      <c r="D219" s="62"/>
      <c r="E219" s="39">
        <f>0</f>
        <v>0</v>
      </c>
      <c r="F219" s="39">
        <f>0</f>
        <v>0</v>
      </c>
      <c r="G219" s="39">
        <f>'Revenue Model'!G31*12*$B$217</f>
        <v>10739.900917431192</v>
      </c>
      <c r="H219" s="39">
        <f>0</f>
        <v>0</v>
      </c>
      <c r="I219" s="39">
        <f>0</f>
        <v>0</v>
      </c>
      <c r="J219">
        <f>'Revenue Model'!J31*12*$B$217</f>
        <v>24841.636363636368</v>
      </c>
      <c r="K219">
        <f>0</f>
        <v>0</v>
      </c>
      <c r="L219">
        <f>0</f>
        <v>0</v>
      </c>
      <c r="M219">
        <f>'Revenue Model'!M31*12*$B$217</f>
        <v>39588.05454545455</v>
      </c>
      <c r="N219">
        <f>0</f>
        <v>0</v>
      </c>
      <c r="O219">
        <f>0</f>
        <v>0</v>
      </c>
      <c r="P219">
        <f>'Revenue Model'!P31*12*$B$217</f>
        <v>60830.311614730876</v>
      </c>
      <c r="Q219">
        <f>0</f>
        <v>0</v>
      </c>
      <c r="R219">
        <f>0</f>
        <v>0</v>
      </c>
      <c r="S219">
        <f>'Revenue Model'!S31*12*$B$217</f>
        <v>86172.244897959172</v>
      </c>
      <c r="T219">
        <f>0</f>
        <v>0</v>
      </c>
      <c r="U219">
        <f>0</f>
        <v>0</v>
      </c>
      <c r="V219">
        <f>'Revenue Model'!V31*12*$B$217</f>
        <v>120078.84530386742</v>
      </c>
      <c r="W219">
        <f>0</f>
        <v>0</v>
      </c>
      <c r="X219">
        <f>0</f>
        <v>0</v>
      </c>
      <c r="Y219">
        <f>'Revenue Model'!Y31*12*$B$217</f>
        <v>165524.59677419357</v>
      </c>
      <c r="Z219">
        <f>0</f>
        <v>0</v>
      </c>
      <c r="AA219">
        <f>0</f>
        <v>0</v>
      </c>
      <c r="AB219">
        <f>'Revenue Model'!AB31*12*$B$217</f>
        <v>219859.04483985767</v>
      </c>
      <c r="AC219">
        <f>0</f>
        <v>0</v>
      </c>
      <c r="AD219">
        <f>0</f>
        <v>0</v>
      </c>
      <c r="AE219">
        <f>'Revenue Model'!AE31*12*$B$217</f>
        <v>279480.61001112347</v>
      </c>
      <c r="AF219">
        <f>0</f>
        <v>0</v>
      </c>
      <c r="AG219">
        <f>0</f>
        <v>0</v>
      </c>
      <c r="AH219">
        <f>'Revenue Model'!AH31*12*$B$217</f>
        <v>350864.08608414239</v>
      </c>
      <c r="AI219">
        <f>0</f>
        <v>0</v>
      </c>
      <c r="AJ219">
        <f>0</f>
        <v>0</v>
      </c>
      <c r="AK219">
        <f>'Revenue Model'!AK31*12*$B$217</f>
        <v>429893.862408377</v>
      </c>
      <c r="AL219">
        <f>0</f>
        <v>0</v>
      </c>
      <c r="AM219">
        <f>0</f>
        <v>0</v>
      </c>
      <c r="AN219">
        <f>0</f>
        <v>0</v>
      </c>
    </row>
    <row r="220" spans="1:40" x14ac:dyDescent="0.45">
      <c r="A220" s="39" t="s">
        <v>818</v>
      </c>
      <c r="B220" s="62"/>
      <c r="C220" s="62"/>
      <c r="D220" s="62"/>
      <c r="E220" s="39">
        <f t="shared" ref="E220:AN220" si="27">E219*E179*$B$218</f>
        <v>0</v>
      </c>
      <c r="F220" s="39">
        <f t="shared" si="27"/>
        <v>0</v>
      </c>
      <c r="G220" s="39">
        <f t="shared" si="27"/>
        <v>585.81277731442867</v>
      </c>
      <c r="H220" s="39">
        <f t="shared" si="27"/>
        <v>0</v>
      </c>
      <c r="I220" s="39">
        <f t="shared" si="27"/>
        <v>0</v>
      </c>
      <c r="J220">
        <f t="shared" si="27"/>
        <v>1528.7160839160842</v>
      </c>
      <c r="K220">
        <f t="shared" si="27"/>
        <v>0</v>
      </c>
      <c r="L220">
        <f t="shared" si="27"/>
        <v>0</v>
      </c>
      <c r="M220">
        <f t="shared" si="27"/>
        <v>2436.1879720279726</v>
      </c>
      <c r="N220">
        <f t="shared" si="27"/>
        <v>0</v>
      </c>
      <c r="O220">
        <f t="shared" si="27"/>
        <v>0</v>
      </c>
      <c r="P220">
        <f t="shared" si="27"/>
        <v>4055.3541076487254</v>
      </c>
      <c r="Q220">
        <f t="shared" si="27"/>
        <v>0</v>
      </c>
      <c r="R220">
        <f t="shared" si="27"/>
        <v>0</v>
      </c>
      <c r="S220">
        <f t="shared" si="27"/>
        <v>6702.2857142857138</v>
      </c>
      <c r="T220">
        <f t="shared" si="27"/>
        <v>0</v>
      </c>
      <c r="U220">
        <f t="shared" si="27"/>
        <v>0</v>
      </c>
      <c r="V220">
        <f t="shared" si="27"/>
        <v>9606.3076243093947</v>
      </c>
      <c r="W220">
        <f t="shared" si="27"/>
        <v>0</v>
      </c>
      <c r="X220">
        <f t="shared" si="27"/>
        <v>0</v>
      </c>
      <c r="Y220">
        <f t="shared" si="27"/>
        <v>14005.927419354841</v>
      </c>
      <c r="Z220">
        <f t="shared" si="27"/>
        <v>0</v>
      </c>
      <c r="AA220">
        <f t="shared" si="27"/>
        <v>0</v>
      </c>
      <c r="AB220">
        <f t="shared" si="27"/>
        <v>21985.904483985767</v>
      </c>
      <c r="AC220">
        <f t="shared" si="27"/>
        <v>0</v>
      </c>
      <c r="AD220">
        <f t="shared" si="27"/>
        <v>0</v>
      </c>
      <c r="AE220">
        <f t="shared" si="27"/>
        <v>27948.06100111235</v>
      </c>
      <c r="AF220">
        <f t="shared" si="27"/>
        <v>0</v>
      </c>
      <c r="AG220">
        <f t="shared" si="27"/>
        <v>0</v>
      </c>
      <c r="AH220">
        <f t="shared" si="27"/>
        <v>35086.40860841424</v>
      </c>
      <c r="AI220">
        <f t="shared" si="27"/>
        <v>0</v>
      </c>
      <c r="AJ220">
        <f t="shared" si="27"/>
        <v>0</v>
      </c>
      <c r="AK220">
        <f t="shared" si="27"/>
        <v>42989.386240837703</v>
      </c>
      <c r="AL220">
        <f t="shared" si="27"/>
        <v>0</v>
      </c>
      <c r="AM220">
        <f t="shared" si="27"/>
        <v>0</v>
      </c>
      <c r="AN220">
        <f t="shared" si="27"/>
        <v>0</v>
      </c>
    </row>
    <row r="221" spans="1:40" x14ac:dyDescent="0.45">
      <c r="A221" s="39" t="s">
        <v>819</v>
      </c>
      <c r="B221" s="62"/>
      <c r="C221" s="62"/>
      <c r="D221" s="62"/>
      <c r="E221" s="39">
        <f t="shared" ref="E221:AN221" si="28">E220</f>
        <v>0</v>
      </c>
      <c r="F221" s="39">
        <f t="shared" si="28"/>
        <v>0</v>
      </c>
      <c r="G221" s="39">
        <f t="shared" si="28"/>
        <v>585.81277731442867</v>
      </c>
      <c r="H221" s="39">
        <f t="shared" si="28"/>
        <v>0</v>
      </c>
      <c r="I221" s="39">
        <f t="shared" si="28"/>
        <v>0</v>
      </c>
      <c r="J221">
        <f t="shared" si="28"/>
        <v>1528.7160839160842</v>
      </c>
      <c r="K221">
        <f t="shared" si="28"/>
        <v>0</v>
      </c>
      <c r="L221">
        <f t="shared" si="28"/>
        <v>0</v>
      </c>
      <c r="M221">
        <f t="shared" si="28"/>
        <v>2436.1879720279726</v>
      </c>
      <c r="N221">
        <f t="shared" si="28"/>
        <v>0</v>
      </c>
      <c r="O221">
        <f t="shared" si="28"/>
        <v>0</v>
      </c>
      <c r="P221">
        <f t="shared" si="28"/>
        <v>4055.3541076487254</v>
      </c>
      <c r="Q221">
        <f t="shared" si="28"/>
        <v>0</v>
      </c>
      <c r="R221">
        <f t="shared" si="28"/>
        <v>0</v>
      </c>
      <c r="S221">
        <f t="shared" si="28"/>
        <v>6702.2857142857138</v>
      </c>
      <c r="T221">
        <f t="shared" si="28"/>
        <v>0</v>
      </c>
      <c r="U221">
        <f t="shared" si="28"/>
        <v>0</v>
      </c>
      <c r="V221">
        <f t="shared" si="28"/>
        <v>9606.3076243093947</v>
      </c>
      <c r="W221">
        <f t="shared" si="28"/>
        <v>0</v>
      </c>
      <c r="X221">
        <f t="shared" si="28"/>
        <v>0</v>
      </c>
      <c r="Y221">
        <f t="shared" si="28"/>
        <v>14005.927419354841</v>
      </c>
      <c r="Z221">
        <f t="shared" si="28"/>
        <v>0</v>
      </c>
      <c r="AA221">
        <f t="shared" si="28"/>
        <v>0</v>
      </c>
      <c r="AB221">
        <f t="shared" si="28"/>
        <v>21985.904483985767</v>
      </c>
      <c r="AC221">
        <f t="shared" si="28"/>
        <v>0</v>
      </c>
      <c r="AD221">
        <f t="shared" si="28"/>
        <v>0</v>
      </c>
      <c r="AE221">
        <f t="shared" si="28"/>
        <v>27948.06100111235</v>
      </c>
      <c r="AF221">
        <f t="shared" si="28"/>
        <v>0</v>
      </c>
      <c r="AG221">
        <f t="shared" si="28"/>
        <v>0</v>
      </c>
      <c r="AH221">
        <f t="shared" si="28"/>
        <v>35086.40860841424</v>
      </c>
      <c r="AI221">
        <f t="shared" si="28"/>
        <v>0</v>
      </c>
      <c r="AJ221">
        <f t="shared" si="28"/>
        <v>0</v>
      </c>
      <c r="AK221">
        <f t="shared" si="28"/>
        <v>42989.386240837703</v>
      </c>
      <c r="AL221">
        <f t="shared" si="28"/>
        <v>0</v>
      </c>
      <c r="AM221">
        <f t="shared" si="28"/>
        <v>0</v>
      </c>
      <c r="AN221">
        <f t="shared" si="28"/>
        <v>0</v>
      </c>
    </row>
    <row r="222" spans="1:40" x14ac:dyDescent="0.45">
      <c r="A222" s="39" t="s">
        <v>820</v>
      </c>
      <c r="B222" s="62"/>
      <c r="C222" s="62"/>
      <c r="D222" s="62"/>
      <c r="E222" s="62"/>
      <c r="F222" s="62"/>
      <c r="G222" s="62"/>
      <c r="H222" s="62"/>
      <c r="I222" s="62"/>
    </row>
    <row r="223" spans="1:40" x14ac:dyDescent="0.45">
      <c r="A223" s="39" t="s">
        <v>821</v>
      </c>
      <c r="B223" s="62"/>
      <c r="C223" s="62"/>
      <c r="D223" s="62"/>
      <c r="E223" s="39">
        <f t="shared" ref="E223:AN223" si="29">E205+E231+E220</f>
        <v>944.30769230769238</v>
      </c>
      <c r="F223" s="39">
        <f t="shared" si="29"/>
        <v>1531.2</v>
      </c>
      <c r="G223" s="39">
        <f t="shared" si="29"/>
        <v>4227.5727773144281</v>
      </c>
      <c r="H223" s="39">
        <f t="shared" si="29"/>
        <v>6195.876923076924</v>
      </c>
      <c r="I223" s="39">
        <f t="shared" si="29"/>
        <v>6195.876923076924</v>
      </c>
      <c r="J223">
        <f t="shared" si="29"/>
        <v>7724.5930069930082</v>
      </c>
      <c r="K223">
        <f t="shared" si="29"/>
        <v>6510.6461538461544</v>
      </c>
      <c r="L223">
        <f t="shared" si="29"/>
        <v>6706.2769230769236</v>
      </c>
      <c r="M223">
        <f t="shared" si="29"/>
        <v>9845.9848951048971</v>
      </c>
      <c r="N223">
        <f t="shared" si="29"/>
        <v>10142.792307692307</v>
      </c>
      <c r="O223">
        <f t="shared" si="29"/>
        <v>10142.792307692307</v>
      </c>
      <c r="P223">
        <f t="shared" si="29"/>
        <v>14198.146415341032</v>
      </c>
      <c r="Q223">
        <f t="shared" si="29"/>
        <v>12186.323736263737</v>
      </c>
      <c r="R223">
        <f t="shared" si="29"/>
        <v>13198.052307692309</v>
      </c>
      <c r="S223">
        <f t="shared" si="29"/>
        <v>24718.578021978021</v>
      </c>
      <c r="T223">
        <f t="shared" si="29"/>
        <v>19848.150000000001</v>
      </c>
      <c r="U223">
        <f t="shared" si="29"/>
        <v>19848.150000000001</v>
      </c>
      <c r="V223">
        <f t="shared" si="29"/>
        <v>29454.457624309398</v>
      </c>
      <c r="W223">
        <f t="shared" si="29"/>
        <v>17758.293506493508</v>
      </c>
      <c r="X223">
        <f t="shared" si="29"/>
        <v>24663.674999999999</v>
      </c>
      <c r="Y223">
        <f t="shared" si="29"/>
        <v>43031.402803970224</v>
      </c>
      <c r="Z223">
        <f t="shared" si="29"/>
        <v>35235.623999999996</v>
      </c>
      <c r="AA223">
        <f t="shared" si="29"/>
        <v>35235.623999999996</v>
      </c>
      <c r="AB223">
        <f t="shared" si="29"/>
        <v>59096.528483985763</v>
      </c>
      <c r="AC223">
        <f t="shared" si="29"/>
        <v>36442.169454545452</v>
      </c>
      <c r="AD223">
        <f t="shared" si="29"/>
        <v>38587.748999999996</v>
      </c>
      <c r="AE223">
        <f t="shared" si="29"/>
        <v>67428.973462650814</v>
      </c>
      <c r="AF223">
        <f t="shared" si="29"/>
        <v>41397.323999999993</v>
      </c>
      <c r="AG223">
        <f t="shared" si="29"/>
        <v>41397.323999999993</v>
      </c>
      <c r="AH223">
        <f t="shared" si="29"/>
        <v>76483.732608414226</v>
      </c>
      <c r="AI223">
        <f t="shared" si="29"/>
        <v>41397.323999999993</v>
      </c>
      <c r="AJ223">
        <f t="shared" si="29"/>
        <v>41397.323999999993</v>
      </c>
      <c r="AK223">
        <f t="shared" si="29"/>
        <v>84386.710240837696</v>
      </c>
      <c r="AL223">
        <f t="shared" si="29"/>
        <v>12887.699999999999</v>
      </c>
      <c r="AM223">
        <f t="shared" si="29"/>
        <v>12887.699999999999</v>
      </c>
      <c r="AN223">
        <f t="shared" si="29"/>
        <v>12887.699999999999</v>
      </c>
    </row>
    <row r="224" spans="1:40" x14ac:dyDescent="0.45">
      <c r="A224" s="39"/>
      <c r="B224" s="62"/>
      <c r="C224" s="62"/>
      <c r="D224" s="62"/>
      <c r="E224" s="62"/>
      <c r="F224" s="62"/>
      <c r="G224" s="62"/>
      <c r="H224" s="62"/>
      <c r="I224" s="62"/>
    </row>
    <row r="225" spans="1:40" x14ac:dyDescent="0.45">
      <c r="A225" s="39" t="s">
        <v>822</v>
      </c>
      <c r="B225" s="62"/>
      <c r="C225" s="62"/>
      <c r="D225" s="62"/>
      <c r="E225" s="62"/>
      <c r="F225" s="62"/>
      <c r="G225" s="62"/>
      <c r="H225" s="62"/>
      <c r="I225" s="62"/>
    </row>
    <row r="226" spans="1:40" x14ac:dyDescent="0.45">
      <c r="A226" s="39" t="s">
        <v>424</v>
      </c>
      <c r="B226" s="62"/>
      <c r="C226" s="62"/>
      <c r="D226" s="62"/>
      <c r="E226" s="39">
        <f>IF(4&gt;=16,1,0)+IF(4&gt;=27,1,0)</f>
        <v>0</v>
      </c>
      <c r="F226" s="39">
        <f>IF(5&gt;=16,1,0)+IF(5&gt;=27,1,0)</f>
        <v>0</v>
      </c>
      <c r="G226" s="39">
        <f>IF(6&gt;=16,1,0)+IF(6&gt;=27,1,0)</f>
        <v>0</v>
      </c>
      <c r="H226" s="39">
        <f>IF(7&gt;=16,1,0)+IF(7&gt;=27,1,0)</f>
        <v>0</v>
      </c>
      <c r="I226" s="39">
        <f>IF(8&gt;=16,1,0)+IF(8&gt;=27,1,0)</f>
        <v>0</v>
      </c>
      <c r="J226">
        <f>IF(9&gt;=16,1,0)+IF(9&gt;=27,1,0)</f>
        <v>0</v>
      </c>
      <c r="K226">
        <f>IF(10&gt;=16,1,0)+IF(10&gt;=27,1,0)</f>
        <v>0</v>
      </c>
      <c r="L226">
        <f>IF(11&gt;=16,1,0)+IF(11&gt;=27,1,0)</f>
        <v>0</v>
      </c>
      <c r="M226">
        <f>IF(12&gt;=16,1,0)+IF(12&gt;=27,1,0)</f>
        <v>0</v>
      </c>
      <c r="N226">
        <f>IF(13&gt;=16,1,0)+IF(13&gt;=27,1,0)</f>
        <v>0</v>
      </c>
      <c r="O226">
        <f>IF(14&gt;=16,1,0)+IF(14&gt;=27,1,0)</f>
        <v>0</v>
      </c>
      <c r="P226">
        <f>IF(15&gt;=16,1,0)+IF(15&gt;=27,1,0)</f>
        <v>0</v>
      </c>
      <c r="Q226">
        <f>IF(16&gt;=16,1,0)+IF(16&gt;=27,1,0)</f>
        <v>1</v>
      </c>
      <c r="R226">
        <f>IF(17&gt;=16,1,0)+IF(17&gt;=27,1,0)</f>
        <v>1</v>
      </c>
      <c r="S226">
        <f>IF(18&gt;=16,1,0)+IF(18&gt;=27,1,0)</f>
        <v>1</v>
      </c>
      <c r="T226">
        <f>IF(19&gt;=16,1,0)+IF(19&gt;=27,1,0)</f>
        <v>1</v>
      </c>
      <c r="U226">
        <f>IF(20&gt;=16,1,0)+IF(20&gt;=27,1,0)</f>
        <v>1</v>
      </c>
      <c r="V226">
        <f>IF(21&gt;=16,1,0)+IF(21&gt;=27,1,0)</f>
        <v>1</v>
      </c>
      <c r="W226">
        <f>IF(22&gt;=16,1,0)+IF(22&gt;=27,1,0)</f>
        <v>1</v>
      </c>
      <c r="X226">
        <f>IF(23&gt;=16,1,0)+IF(23&gt;=27,1,0)</f>
        <v>1</v>
      </c>
      <c r="Y226">
        <f>IF(24&gt;=16,1,0)+IF(24&gt;=27,1,0)</f>
        <v>1</v>
      </c>
      <c r="Z226">
        <f>IF(25&gt;=16,1,0)+IF(25&gt;=27,1,0)</f>
        <v>1</v>
      </c>
      <c r="AA226">
        <f>IF(26&gt;=16,1,0)+IF(26&gt;=27,1,0)</f>
        <v>1</v>
      </c>
      <c r="AB226">
        <f>IF(27&gt;=16,1,0)+IF(27&gt;=27,1,0)</f>
        <v>2</v>
      </c>
      <c r="AC226">
        <f>IF(28&gt;=16,1,0)+IF(28&gt;=27,1,0)</f>
        <v>2</v>
      </c>
      <c r="AD226">
        <f>IF(29&gt;=16,1,0)+IF(29&gt;=27,1,0)</f>
        <v>2</v>
      </c>
      <c r="AE226">
        <f>IF(30&gt;=16,1,0)+IF(30&gt;=27,1,0)</f>
        <v>2</v>
      </c>
      <c r="AF226">
        <f>IF(31&gt;=16,1,0)+IF(31&gt;=27,1,0)</f>
        <v>2</v>
      </c>
      <c r="AG226">
        <f>IF(32&gt;=16,1,0)+IF(32&gt;=27,1,0)</f>
        <v>2</v>
      </c>
      <c r="AH226">
        <f>IF(33&gt;=16,1,0)+IF(33&gt;=27,1,0)</f>
        <v>2</v>
      </c>
      <c r="AI226">
        <f>IF(34&gt;=16,1,0)+IF(34&gt;=27,1,0)</f>
        <v>2</v>
      </c>
      <c r="AJ226">
        <f>IF(35&gt;=16,1,0)+IF(35&gt;=27,1,0)</f>
        <v>2</v>
      </c>
      <c r="AK226">
        <f>IF(36&gt;=16,1,0)+IF(36&gt;=27,1,0)</f>
        <v>2</v>
      </c>
      <c r="AL226">
        <f>IF(37&gt;=16,1,0)+IF(37&gt;=27,1,0)</f>
        <v>2</v>
      </c>
      <c r="AM226">
        <f>IF(38&gt;=16,1,0)+IF(38&gt;=27,1,0)</f>
        <v>2</v>
      </c>
      <c r="AN226">
        <f>IF(39&gt;=16,1,0)+IF(39&gt;=27,1,0)</f>
        <v>2</v>
      </c>
    </row>
    <row r="227" spans="1:40" x14ac:dyDescent="0.45">
      <c r="A227" s="39" t="s">
        <v>823</v>
      </c>
      <c r="B227" s="39" t="s">
        <v>67</v>
      </c>
      <c r="C227" s="39" t="s">
        <v>68</v>
      </c>
      <c r="D227" s="39" t="s">
        <v>69</v>
      </c>
      <c r="E227" s="39">
        <f t="shared" ref="E227:AN227" si="30">E226*$B$54</f>
        <v>0</v>
      </c>
      <c r="F227" s="39">
        <f t="shared" si="30"/>
        <v>0</v>
      </c>
      <c r="G227" s="39">
        <f t="shared" si="30"/>
        <v>0</v>
      </c>
      <c r="H227" s="39">
        <f t="shared" si="30"/>
        <v>0</v>
      </c>
      <c r="I227" s="39">
        <f t="shared" si="30"/>
        <v>0</v>
      </c>
      <c r="J227">
        <f t="shared" si="30"/>
        <v>0</v>
      </c>
      <c r="K227">
        <f t="shared" si="30"/>
        <v>0</v>
      </c>
      <c r="L227">
        <f t="shared" si="30"/>
        <v>0</v>
      </c>
      <c r="M227">
        <f t="shared" si="30"/>
        <v>0</v>
      </c>
      <c r="N227">
        <f t="shared" si="30"/>
        <v>0</v>
      </c>
      <c r="O227">
        <f t="shared" si="30"/>
        <v>0</v>
      </c>
      <c r="P227">
        <f t="shared" si="30"/>
        <v>0</v>
      </c>
      <c r="Q227">
        <f t="shared" si="30"/>
        <v>15</v>
      </c>
      <c r="R227">
        <f t="shared" si="30"/>
        <v>15</v>
      </c>
      <c r="S227">
        <f t="shared" si="30"/>
        <v>15</v>
      </c>
      <c r="T227">
        <f t="shared" si="30"/>
        <v>15</v>
      </c>
      <c r="U227">
        <f t="shared" si="30"/>
        <v>15</v>
      </c>
      <c r="V227">
        <f t="shared" si="30"/>
        <v>15</v>
      </c>
      <c r="W227">
        <f t="shared" si="30"/>
        <v>15</v>
      </c>
      <c r="X227">
        <f t="shared" si="30"/>
        <v>15</v>
      </c>
      <c r="Y227">
        <f t="shared" si="30"/>
        <v>15</v>
      </c>
      <c r="Z227">
        <f t="shared" si="30"/>
        <v>15</v>
      </c>
      <c r="AA227">
        <f t="shared" si="30"/>
        <v>15</v>
      </c>
      <c r="AB227">
        <f t="shared" si="30"/>
        <v>30</v>
      </c>
      <c r="AC227">
        <f t="shared" si="30"/>
        <v>30</v>
      </c>
      <c r="AD227">
        <f t="shared" si="30"/>
        <v>30</v>
      </c>
      <c r="AE227">
        <f t="shared" si="30"/>
        <v>30</v>
      </c>
      <c r="AF227">
        <f t="shared" si="30"/>
        <v>30</v>
      </c>
      <c r="AG227">
        <f t="shared" si="30"/>
        <v>30</v>
      </c>
      <c r="AH227">
        <f t="shared" si="30"/>
        <v>30</v>
      </c>
      <c r="AI227">
        <f t="shared" si="30"/>
        <v>30</v>
      </c>
      <c r="AJ227">
        <f t="shared" si="30"/>
        <v>30</v>
      </c>
      <c r="AK227">
        <f t="shared" si="30"/>
        <v>30</v>
      </c>
      <c r="AL227">
        <f t="shared" si="30"/>
        <v>30</v>
      </c>
      <c r="AM227">
        <f t="shared" si="30"/>
        <v>30</v>
      </c>
      <c r="AN227">
        <f t="shared" si="30"/>
        <v>30</v>
      </c>
    </row>
    <row r="228" spans="1:40" x14ac:dyDescent="0.45">
      <c r="A228" s="39" t="s">
        <v>824</v>
      </c>
      <c r="B228" s="62"/>
      <c r="C228" s="62"/>
      <c r="D228" s="62"/>
      <c r="E228" s="39">
        <f t="shared" ref="E228:AN228" si="31">E227*$B$52</f>
        <v>0</v>
      </c>
      <c r="F228" s="39">
        <f t="shared" si="31"/>
        <v>0</v>
      </c>
      <c r="G228" s="39">
        <f t="shared" si="31"/>
        <v>0</v>
      </c>
      <c r="H228" s="39">
        <f t="shared" si="31"/>
        <v>0</v>
      </c>
      <c r="I228" s="39">
        <f t="shared" si="31"/>
        <v>0</v>
      </c>
      <c r="J228">
        <f t="shared" si="31"/>
        <v>0</v>
      </c>
      <c r="K228">
        <f t="shared" si="31"/>
        <v>0</v>
      </c>
      <c r="L228">
        <f t="shared" si="31"/>
        <v>0</v>
      </c>
      <c r="M228">
        <f t="shared" si="31"/>
        <v>0</v>
      </c>
      <c r="N228">
        <f t="shared" si="31"/>
        <v>0</v>
      </c>
      <c r="O228">
        <f t="shared" si="31"/>
        <v>0</v>
      </c>
      <c r="P228">
        <f t="shared" si="31"/>
        <v>0</v>
      </c>
      <c r="Q228">
        <f t="shared" si="31"/>
        <v>1875</v>
      </c>
      <c r="R228">
        <f t="shared" si="31"/>
        <v>1875</v>
      </c>
      <c r="S228">
        <f t="shared" si="31"/>
        <v>1875</v>
      </c>
      <c r="T228">
        <f t="shared" si="31"/>
        <v>1875</v>
      </c>
      <c r="U228">
        <f t="shared" si="31"/>
        <v>1875</v>
      </c>
      <c r="V228">
        <f t="shared" si="31"/>
        <v>1875</v>
      </c>
      <c r="W228">
        <f t="shared" si="31"/>
        <v>1875</v>
      </c>
      <c r="X228">
        <f t="shared" si="31"/>
        <v>1875</v>
      </c>
      <c r="Y228">
        <f t="shared" si="31"/>
        <v>1875</v>
      </c>
      <c r="Z228">
        <f t="shared" si="31"/>
        <v>1875</v>
      </c>
      <c r="AA228">
        <f t="shared" si="31"/>
        <v>1875</v>
      </c>
      <c r="AB228">
        <f t="shared" si="31"/>
        <v>3750</v>
      </c>
      <c r="AC228">
        <f t="shared" si="31"/>
        <v>3750</v>
      </c>
      <c r="AD228">
        <f t="shared" si="31"/>
        <v>3750</v>
      </c>
      <c r="AE228">
        <f t="shared" si="31"/>
        <v>3750</v>
      </c>
      <c r="AF228">
        <f t="shared" si="31"/>
        <v>3750</v>
      </c>
      <c r="AG228">
        <f t="shared" si="31"/>
        <v>3750</v>
      </c>
      <c r="AH228">
        <f t="shared" si="31"/>
        <v>3750</v>
      </c>
      <c r="AI228">
        <f t="shared" si="31"/>
        <v>3750</v>
      </c>
      <c r="AJ228">
        <f t="shared" si="31"/>
        <v>3750</v>
      </c>
      <c r="AK228">
        <f t="shared" si="31"/>
        <v>3750</v>
      </c>
      <c r="AL228">
        <f t="shared" si="31"/>
        <v>3750</v>
      </c>
      <c r="AM228">
        <f t="shared" si="31"/>
        <v>3750</v>
      </c>
      <c r="AN228">
        <f t="shared" si="31"/>
        <v>3750</v>
      </c>
    </row>
    <row r="229" spans="1:40" x14ac:dyDescent="0.45">
      <c r="A229" s="39" t="s">
        <v>825</v>
      </c>
      <c r="B229" s="62"/>
      <c r="C229" s="62"/>
      <c r="D229" s="62"/>
      <c r="E229" s="39">
        <f>IF(E226&gt;0,'Revenue Model'!E37*12*0.3,0)</f>
        <v>0</v>
      </c>
      <c r="F229" s="39">
        <f>IF(F226&gt;0,'Revenue Model'!F37*12*0.3,0)</f>
        <v>0</v>
      </c>
      <c r="G229" s="39">
        <f>IF(G226&gt;0,'Revenue Model'!G37*12*0.3,0)</f>
        <v>0</v>
      </c>
      <c r="H229" s="39">
        <f>IF(H226&gt;0,'Revenue Model'!H37*12*0.3,0)</f>
        <v>0</v>
      </c>
      <c r="I229" s="39">
        <f>IF(I226&gt;0,'Revenue Model'!I37*12*0.3,0)</f>
        <v>0</v>
      </c>
      <c r="J229">
        <f>IF(J226&gt;0,'Revenue Model'!J37*12*0.3,0)</f>
        <v>0</v>
      </c>
      <c r="K229">
        <f>IF(K226&gt;0,'Revenue Model'!K37*12*0.3,0)</f>
        <v>0</v>
      </c>
      <c r="L229">
        <f>IF(L226&gt;0,'Revenue Model'!L37*12*0.3,0)</f>
        <v>0</v>
      </c>
      <c r="M229">
        <f>IF(M226&gt;0,'Revenue Model'!M37*12*0.3,0)</f>
        <v>0</v>
      </c>
      <c r="N229">
        <f>IF(N226&gt;0,'Revenue Model'!N37*12*0.3,0)</f>
        <v>0</v>
      </c>
      <c r="O229">
        <f>IF(O226&gt;0,'Revenue Model'!O37*12*0.3,0)</f>
        <v>0</v>
      </c>
      <c r="P229">
        <f>IF(P226&gt;0,'Revenue Model'!P37*12*0.3,0)</f>
        <v>0</v>
      </c>
      <c r="Q229">
        <f>IF(Q226&gt;0,'Revenue Model'!Q37*12*0.3,0)</f>
        <v>35964</v>
      </c>
      <c r="R229">
        <f>IF(R226&gt;0,'Revenue Model'!R37*12*0.3,0)</f>
        <v>38574</v>
      </c>
      <c r="S229">
        <f>IF(S226&gt;0,'Revenue Model'!S37*12*0.3,0)</f>
        <v>45900</v>
      </c>
      <c r="T229">
        <f>IF(T226&gt;0,'Revenue Model'!T37*12*0.3,0)</f>
        <v>48510</v>
      </c>
      <c r="U229">
        <f>IF(U226&gt;0,'Revenue Model'!U37*12*0.3,0)</f>
        <v>48510</v>
      </c>
      <c r="V229">
        <f>IF(V226&gt;0,'Revenue Model'!V37*12*0.3,0)</f>
        <v>48510</v>
      </c>
      <c r="W229">
        <f>IF(W226&gt;0,'Revenue Model'!W37*12*0.3,0)</f>
        <v>51120</v>
      </c>
      <c r="X229">
        <f>IF(X226&gt;0,'Revenue Model'!X37*12*0.3,0)</f>
        <v>60750</v>
      </c>
      <c r="Y229">
        <f>IF(Y226&gt;0,'Revenue Model'!Y37*12*0.3,0)</f>
        <v>68274</v>
      </c>
      <c r="Z229">
        <f>IF(Z226&gt;0,'Revenue Model'!Z37*12*0.3,0)</f>
        <v>73101.599999999991</v>
      </c>
      <c r="AA229">
        <f>IF(AA226&gt;0,'Revenue Model'!AA37*12*0.3,0)</f>
        <v>73101.599999999991</v>
      </c>
      <c r="AB229">
        <f>IF(AB226&gt;0,'Revenue Model'!AB37*12*0.3,0)</f>
        <v>73101.599999999991</v>
      </c>
      <c r="AC229">
        <f>IF(AC226&gt;0,'Revenue Model'!AC37*12*0.3,0)</f>
        <v>73101.599999999991</v>
      </c>
      <c r="AD229">
        <f>IF(AD226&gt;0,'Revenue Model'!AD37*12*0.3,0)</f>
        <v>73101.599999999991</v>
      </c>
      <c r="AE229">
        <f>IF(AE226&gt;0,'Revenue Model'!AE37*12*0.3,0)</f>
        <v>73101.599999999991</v>
      </c>
      <c r="AF229">
        <f>IF(AF226&gt;0,'Revenue Model'!AF37*12*0.3,0)</f>
        <v>73101.599999999991</v>
      </c>
      <c r="AG229">
        <f>IF(AG226&gt;0,'Revenue Model'!AG37*12*0.3,0)</f>
        <v>73101.599999999991</v>
      </c>
      <c r="AH229">
        <f>IF(AH226&gt;0,'Revenue Model'!AH37*12*0.3,0)</f>
        <v>73101.599999999991</v>
      </c>
      <c r="AI229">
        <f>IF(AI226&gt;0,'Revenue Model'!AI37*12*0.3,0)</f>
        <v>73101.599999999991</v>
      </c>
      <c r="AJ229">
        <f>IF(AJ226&gt;0,'Revenue Model'!AJ37*12*0.3,0)</f>
        <v>73101.599999999991</v>
      </c>
      <c r="AK229">
        <f>IF(AK226&gt;0,'Revenue Model'!AK37*12*0.3,0)</f>
        <v>73101.599999999991</v>
      </c>
      <c r="AL229">
        <f>IF(AL226&gt;0,'Revenue Model'!AL37*12*0.3,0)</f>
        <v>0</v>
      </c>
      <c r="AM229">
        <f>IF(AM226&gt;0,'Revenue Model'!AM37*12*0.3,0)</f>
        <v>0</v>
      </c>
      <c r="AN229">
        <f>IF(AN226&gt;0,'Revenue Model'!AN37*12*0.3,0)</f>
        <v>0</v>
      </c>
    </row>
    <row r="230" spans="1:40" x14ac:dyDescent="0.45">
      <c r="A230" s="39" t="s">
        <v>826</v>
      </c>
      <c r="B230" s="62"/>
      <c r="C230" s="62"/>
      <c r="D230" s="62"/>
      <c r="E230" s="39">
        <f t="shared" ref="E230:AN230" si="32">E229*$B$53</f>
        <v>0</v>
      </c>
      <c r="F230" s="39">
        <f t="shared" si="32"/>
        <v>0</v>
      </c>
      <c r="G230" s="39">
        <f t="shared" si="32"/>
        <v>0</v>
      </c>
      <c r="H230" s="39">
        <f t="shared" si="32"/>
        <v>0</v>
      </c>
      <c r="I230" s="39">
        <f t="shared" si="32"/>
        <v>0</v>
      </c>
      <c r="J230">
        <f t="shared" si="32"/>
        <v>0</v>
      </c>
      <c r="K230">
        <f t="shared" si="32"/>
        <v>0</v>
      </c>
      <c r="L230">
        <f t="shared" si="32"/>
        <v>0</v>
      </c>
      <c r="M230">
        <f t="shared" si="32"/>
        <v>0</v>
      </c>
      <c r="N230">
        <f t="shared" si="32"/>
        <v>0</v>
      </c>
      <c r="O230">
        <f t="shared" si="32"/>
        <v>0</v>
      </c>
      <c r="P230">
        <f t="shared" si="32"/>
        <v>0</v>
      </c>
      <c r="Q230">
        <f t="shared" si="32"/>
        <v>539.46</v>
      </c>
      <c r="R230">
        <f t="shared" si="32"/>
        <v>578.61</v>
      </c>
      <c r="S230">
        <f t="shared" si="32"/>
        <v>688.5</v>
      </c>
      <c r="T230">
        <f t="shared" si="32"/>
        <v>727.65</v>
      </c>
      <c r="U230">
        <f t="shared" si="32"/>
        <v>727.65</v>
      </c>
      <c r="V230">
        <f t="shared" si="32"/>
        <v>727.65</v>
      </c>
      <c r="W230">
        <f t="shared" si="32"/>
        <v>766.8</v>
      </c>
      <c r="X230">
        <f t="shared" si="32"/>
        <v>911.25</v>
      </c>
      <c r="Y230">
        <f t="shared" si="32"/>
        <v>1024.1099999999999</v>
      </c>
      <c r="Z230">
        <f t="shared" si="32"/>
        <v>1096.5239999999999</v>
      </c>
      <c r="AA230">
        <f t="shared" si="32"/>
        <v>1096.5239999999999</v>
      </c>
      <c r="AB230">
        <f t="shared" si="32"/>
        <v>1096.5239999999999</v>
      </c>
      <c r="AC230">
        <f t="shared" si="32"/>
        <v>1096.5239999999999</v>
      </c>
      <c r="AD230">
        <f t="shared" si="32"/>
        <v>1096.5239999999999</v>
      </c>
      <c r="AE230">
        <f t="shared" si="32"/>
        <v>1096.5239999999999</v>
      </c>
      <c r="AF230">
        <f t="shared" si="32"/>
        <v>1096.5239999999999</v>
      </c>
      <c r="AG230">
        <f t="shared" si="32"/>
        <v>1096.5239999999999</v>
      </c>
      <c r="AH230">
        <f t="shared" si="32"/>
        <v>1096.5239999999999</v>
      </c>
      <c r="AI230">
        <f t="shared" si="32"/>
        <v>1096.5239999999999</v>
      </c>
      <c r="AJ230">
        <f t="shared" si="32"/>
        <v>1096.5239999999999</v>
      </c>
      <c r="AK230">
        <f t="shared" si="32"/>
        <v>1096.5239999999999</v>
      </c>
      <c r="AL230">
        <f t="shared" si="32"/>
        <v>0</v>
      </c>
      <c r="AM230">
        <f t="shared" si="32"/>
        <v>0</v>
      </c>
      <c r="AN230">
        <f t="shared" si="32"/>
        <v>0</v>
      </c>
    </row>
    <row r="231" spans="1:40" x14ac:dyDescent="0.45">
      <c r="A231" s="39" t="s">
        <v>827</v>
      </c>
      <c r="B231" s="62"/>
      <c r="C231" s="62"/>
      <c r="D231" s="62"/>
      <c r="E231" s="39">
        <f t="shared" ref="E231:AN231" si="33">E228+E230</f>
        <v>0</v>
      </c>
      <c r="F231" s="39">
        <f t="shared" si="33"/>
        <v>0</v>
      </c>
      <c r="G231" s="39">
        <f t="shared" si="33"/>
        <v>0</v>
      </c>
      <c r="H231" s="39">
        <f t="shared" si="33"/>
        <v>0</v>
      </c>
      <c r="I231" s="39">
        <f t="shared" si="33"/>
        <v>0</v>
      </c>
      <c r="J231">
        <f t="shared" si="33"/>
        <v>0</v>
      </c>
      <c r="K231">
        <f t="shared" si="33"/>
        <v>0</v>
      </c>
      <c r="L231">
        <f t="shared" si="33"/>
        <v>0</v>
      </c>
      <c r="M231">
        <f t="shared" si="33"/>
        <v>0</v>
      </c>
      <c r="N231">
        <f t="shared" si="33"/>
        <v>0</v>
      </c>
      <c r="O231">
        <f t="shared" si="33"/>
        <v>0</v>
      </c>
      <c r="P231">
        <f t="shared" si="33"/>
        <v>0</v>
      </c>
      <c r="Q231">
        <f t="shared" si="33"/>
        <v>2414.46</v>
      </c>
      <c r="R231">
        <f t="shared" si="33"/>
        <v>2453.61</v>
      </c>
      <c r="S231">
        <f t="shared" si="33"/>
        <v>2563.5</v>
      </c>
      <c r="T231">
        <f t="shared" si="33"/>
        <v>2602.65</v>
      </c>
      <c r="U231">
        <f t="shared" si="33"/>
        <v>2602.65</v>
      </c>
      <c r="V231">
        <f t="shared" si="33"/>
        <v>2602.65</v>
      </c>
      <c r="W231">
        <f t="shared" si="33"/>
        <v>2641.8</v>
      </c>
      <c r="X231">
        <f t="shared" si="33"/>
        <v>2786.25</v>
      </c>
      <c r="Y231">
        <f t="shared" si="33"/>
        <v>2899.1099999999997</v>
      </c>
      <c r="Z231">
        <f t="shared" si="33"/>
        <v>2971.5239999999999</v>
      </c>
      <c r="AA231">
        <f t="shared" si="33"/>
        <v>2971.5239999999999</v>
      </c>
      <c r="AB231">
        <f t="shared" si="33"/>
        <v>4846.5239999999994</v>
      </c>
      <c r="AC231">
        <f t="shared" si="33"/>
        <v>4846.5239999999994</v>
      </c>
      <c r="AD231">
        <f t="shared" si="33"/>
        <v>4846.5239999999994</v>
      </c>
      <c r="AE231">
        <f t="shared" si="33"/>
        <v>4846.5239999999994</v>
      </c>
      <c r="AF231">
        <f t="shared" si="33"/>
        <v>4846.5239999999994</v>
      </c>
      <c r="AG231">
        <f t="shared" si="33"/>
        <v>4846.5239999999994</v>
      </c>
      <c r="AH231">
        <f t="shared" si="33"/>
        <v>4846.5239999999994</v>
      </c>
      <c r="AI231">
        <f t="shared" si="33"/>
        <v>4846.5239999999994</v>
      </c>
      <c r="AJ231">
        <f t="shared" si="33"/>
        <v>4846.5239999999994</v>
      </c>
      <c r="AK231">
        <f t="shared" si="33"/>
        <v>4846.5239999999994</v>
      </c>
      <c r="AL231">
        <f t="shared" si="33"/>
        <v>3750</v>
      </c>
      <c r="AM231">
        <f t="shared" si="33"/>
        <v>3750</v>
      </c>
      <c r="AN231">
        <f t="shared" si="33"/>
        <v>3750</v>
      </c>
    </row>
    <row r="232" spans="1:40" x14ac:dyDescent="0.45">
      <c r="A232" s="39"/>
      <c r="B232" s="62"/>
      <c r="C232" s="62"/>
      <c r="D232" s="62"/>
      <c r="E232" s="62"/>
      <c r="F232" s="62"/>
      <c r="G232" s="62"/>
      <c r="H232" s="62"/>
      <c r="I232" s="6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Revenue Model</vt:lpstr>
      <vt:lpstr>COGS Analysis</vt:lpstr>
      <vt:lpstr>Staffing Plan</vt:lpstr>
      <vt:lpstr>Operating Expenses</vt:lpstr>
      <vt:lpstr>P&amp;L Statement</vt:lpstr>
      <vt:lpstr>Unit Economics</vt:lpstr>
      <vt:lpstr>Cap Table &amp; SAFE</vt:lpstr>
      <vt:lpstr>Use of Funds</vt:lpstr>
      <vt:lpstr>Model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Weiss</cp:lastModifiedBy>
  <cp:revision>0</cp:revision>
  <dcterms:created xsi:type="dcterms:W3CDTF">2025-12-04T04:05:40Z</dcterms:created>
  <dcterms:modified xsi:type="dcterms:W3CDTF">2025-12-23T11:00:28Z</dcterms:modified>
  <dc:language>en-US</dc:language>
</cp:coreProperties>
</file>